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yezikang/Desktop/彩嘉资料/产品报价/月结单/"/>
    </mc:Choice>
  </mc:AlternateContent>
  <xr:revisionPtr revIDLastSave="0" documentId="13_ncr:1_{0A3BEF22-4A2A-9F43-BDA8-9D12ACAD6ED3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2026-0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8" i="2"/>
  <c r="I5" i="2"/>
  <c r="I4" i="2"/>
  <c r="I3" i="2"/>
  <c r="I13" i="2" l="1"/>
</calcChain>
</file>

<file path=xl/sharedStrings.xml><?xml version="1.0" encoding="utf-8"?>
<sst xmlns="http://schemas.openxmlformats.org/spreadsheetml/2006/main" count="68" uniqueCount="52">
  <si>
    <t>下单日期</t>
  </si>
  <si>
    <t>客户名称</t>
  </si>
  <si>
    <t>品名</t>
  </si>
  <si>
    <t>规格</t>
  </si>
  <si>
    <t>材质+颜色+工艺</t>
  </si>
  <si>
    <t>数量</t>
  </si>
  <si>
    <t>单价</t>
  </si>
  <si>
    <t>金额</t>
  </si>
  <si>
    <t>收款说明</t>
  </si>
  <si>
    <t>1688订单号</t>
  </si>
  <si>
    <t>备注</t>
  </si>
  <si>
    <t>合计：</t>
  </si>
  <si>
    <t>深圳市柒星玥光电科技有限公司</t>
    <phoneticPr fontId="12" type="noConversion"/>
  </si>
  <si>
    <t>裱坑盖板盒</t>
    <phoneticPr fontId="12" type="noConversion"/>
  </si>
  <si>
    <t>103*47*198mm</t>
    <phoneticPr fontId="12" type="noConversion"/>
  </si>
  <si>
    <t>350g单铜裱W9加120g芯+单面印四色+覆哑膜+啤+粘</t>
    <phoneticPr fontId="12" type="noConversion"/>
  </si>
  <si>
    <t>对私转支付宝</t>
    <phoneticPr fontId="12" type="noConversion"/>
  </si>
  <si>
    <t>未付</t>
    <phoneticPr fontId="12" type="noConversion"/>
  </si>
  <si>
    <t>激凸UV屏幕双插盒</t>
    <phoneticPr fontId="12" type="noConversion"/>
  </si>
  <si>
    <t>100mm*15mm*215mm</t>
    <phoneticPr fontId="12" type="noConversion"/>
  </si>
  <si>
    <t>375银卡+UV印+逆向UV+激凸+局部UV++啤+粘盒</t>
    <phoneticPr fontId="12" type="noConversion"/>
  </si>
  <si>
    <t>激凸UV屏幕双插大盒</t>
    <phoneticPr fontId="12" type="noConversion"/>
  </si>
  <si>
    <t>100mm*52mm*215mm</t>
    <phoneticPr fontId="12" type="noConversion"/>
  </si>
  <si>
    <t>375银卡+UV印+激凸+局部UV++啤+粘盒</t>
    <phoneticPr fontId="12" type="noConversion"/>
  </si>
  <si>
    <t>已送货 未付，清明节后付款</t>
    <phoneticPr fontId="12" type="noConversion"/>
  </si>
  <si>
    <t>已做好，未送货，未付款，清明节后付款</t>
    <phoneticPr fontId="12" type="noConversion"/>
  </si>
  <si>
    <t>伊萬達科技有限公司</t>
    <phoneticPr fontId="12" type="noConversion"/>
  </si>
  <si>
    <t>90*120*47mm</t>
  </si>
  <si>
    <t>60*90mm</t>
  </si>
  <si>
    <t>卡牌上下盖天地盒</t>
  </si>
  <si>
    <t>一套卡牌</t>
  </si>
  <si>
    <t>250g棉纸对裱+单面印4色+啤</t>
    <phoneticPr fontId="12" type="noConversion"/>
  </si>
  <si>
    <t>157g铜版纸+1200g单白+4色+覆哑膜+内外盒半穿</t>
    <phoneticPr fontId="12" type="noConversion"/>
  </si>
  <si>
    <r>
      <rPr>
        <b/>
        <sz val="11"/>
        <color theme="1"/>
        <rFont val="Microsoft YaHei"/>
        <family val="2"/>
        <charset val="134"/>
      </rPr>
      <t>已送货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Microsoft YaHei"/>
        <family val="2"/>
        <charset val="134"/>
      </rPr>
      <t>对私付全款13602343492支付宝</t>
    </r>
    <phoneticPr fontId="12" type="noConversion"/>
  </si>
  <si>
    <t>已付</t>
    <phoneticPr fontId="12" type="noConversion"/>
  </si>
  <si>
    <t>深圳市华吉通电子有限公司</t>
    <phoneticPr fontId="12" type="noConversion"/>
  </si>
  <si>
    <t>BF7103扣底盒 (CJ03-1191-005)</t>
    <phoneticPr fontId="12" type="noConversion"/>
  </si>
  <si>
    <t>10x9x8.5 CM</t>
    <phoneticPr fontId="12" type="noConversion"/>
  </si>
  <si>
    <t>250g宁波单铜纸AF+ 单面过光胶,啤,裱坑</t>
    <phoneticPr fontId="12" type="noConversion"/>
  </si>
  <si>
    <r>
      <rPr>
        <b/>
        <sz val="11"/>
        <color theme="1"/>
        <rFont val="Microsoft YaHei"/>
        <family val="2"/>
        <charset val="134"/>
      </rPr>
      <t>30%定金已付，70%尾款未付 未送货，</t>
    </r>
    <r>
      <rPr>
        <b/>
        <sz val="11"/>
        <color theme="1"/>
        <rFont val="Arial"/>
        <family val="2"/>
        <charset val="134"/>
      </rPr>
      <t>4</t>
    </r>
    <r>
      <rPr>
        <b/>
        <sz val="11"/>
        <color theme="1"/>
        <rFont val="Microsoft YaHei"/>
        <family val="2"/>
        <charset val="134"/>
      </rPr>
      <t>月6日送货</t>
    </r>
    <phoneticPr fontId="12" type="noConversion"/>
  </si>
  <si>
    <t>阿里国际站-Brian</t>
    <phoneticPr fontId="12" type="noConversion"/>
  </si>
  <si>
    <t>CATHCARTH LONDON感谢卡</t>
    <phoneticPr fontId="12" type="noConversion"/>
  </si>
  <si>
    <t>105 mm × 148 mm</t>
    <phoneticPr fontId="12" type="noConversion"/>
  </si>
  <si>
    <t>400g纯白棉纸正反双面印+啤</t>
    <phoneticPr fontId="12" type="noConversion"/>
  </si>
  <si>
    <t>阿里国际站信保订单</t>
    <phoneticPr fontId="12" type="noConversion"/>
  </si>
  <si>
    <t>已送货，全款已付</t>
    <phoneticPr fontId="12" type="noConversion"/>
  </si>
  <si>
    <r>
      <t xml:space="preserve"> </t>
    </r>
    <r>
      <rPr>
        <b/>
        <sz val="18"/>
        <color theme="1"/>
        <rFont val="宋体"/>
        <family val="3"/>
        <charset val="134"/>
      </rPr>
      <t>东莞市彩嘉印刷有限公司</t>
    </r>
    <r>
      <rPr>
        <b/>
        <sz val="18"/>
        <color theme="1"/>
        <rFont val="Arial"/>
        <family val="2"/>
      </rPr>
      <t xml:space="preserve"> </t>
    </r>
    <r>
      <rPr>
        <b/>
        <sz val="18"/>
        <color theme="1"/>
        <rFont val="宋体"/>
        <family val="3"/>
        <charset val="134"/>
      </rPr>
      <t>业务员对账单（</t>
    </r>
    <r>
      <rPr>
        <b/>
        <sz val="18"/>
        <color theme="1"/>
        <rFont val="Arial"/>
        <family val="2"/>
      </rPr>
      <t>2026</t>
    </r>
    <r>
      <rPr>
        <b/>
        <sz val="18"/>
        <color theme="1"/>
        <rFont val="宋体"/>
        <family val="3"/>
        <charset val="134"/>
      </rPr>
      <t>年03月）</t>
    </r>
    <r>
      <rPr>
        <b/>
        <sz val="18"/>
        <color rgb="FFFF0000"/>
        <rFont val="Arial"/>
        <family val="2"/>
      </rPr>
      <t xml:space="preserve"> </t>
    </r>
    <r>
      <rPr>
        <b/>
        <sz val="18"/>
        <color theme="1"/>
        <rFont val="宋体"/>
        <family val="3"/>
        <charset val="134"/>
      </rPr>
      <t>业务员：叶子康</t>
    </r>
    <phoneticPr fontId="12" type="noConversion"/>
  </si>
  <si>
    <t>深圳市顺辉国际贸易</t>
    <phoneticPr fontId="12" type="noConversion"/>
  </si>
  <si>
    <t>行李箱飞机盒</t>
    <phoneticPr fontId="12" type="noConversion"/>
  </si>
  <si>
    <t>857*948mm展开</t>
    <phoneticPr fontId="12" type="noConversion"/>
  </si>
  <si>
    <t>300g单铜+W9+不印刷+啤</t>
    <phoneticPr fontId="12" type="noConversion"/>
  </si>
  <si>
    <r>
      <t>4</t>
    </r>
    <r>
      <rPr>
        <b/>
        <sz val="11"/>
        <color theme="1"/>
        <rFont val="Microsoft YaHei"/>
        <family val="2"/>
        <charset val="134"/>
      </rPr>
      <t>月</t>
    </r>
    <r>
      <rPr>
        <b/>
        <sz val="11"/>
        <color theme="1"/>
        <rFont val="Arial"/>
        <family val="2"/>
        <charset val="134"/>
      </rPr>
      <t>6</t>
    </r>
    <r>
      <rPr>
        <b/>
        <sz val="11"/>
        <color theme="1"/>
        <rFont val="Microsoft YaHei"/>
        <family val="2"/>
        <charset val="134"/>
      </rPr>
      <t>日送货，全款已付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</si>
</sst>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￥&quot;#,##0.00;&quot;￥&quot;\-#,##0.00"/>
    <numFmt numFmtId="177" formatCode="&quot;¥&quot;#,##0.00;&quot;¥&quot;\-#,##0.00"/>
    <numFmt numFmtId="178" formatCode="&quot;￥&quot;#,##0;&quot;￥&quot;\-#,##0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宋体"/>
      <family val="3"/>
      <charset val="134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2"/>
      <color rgb="FFFF0000"/>
      <name val="宋体"/>
      <family val="3"/>
      <charset val="134"/>
    </font>
    <font>
      <b/>
      <sz val="12"/>
      <color rgb="FFFF0000"/>
      <name val="Arial"/>
      <family val="2"/>
    </font>
    <font>
      <b/>
      <sz val="18"/>
      <color theme="1"/>
      <name val="宋体"/>
      <family val="3"/>
      <charset val="134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name val="宋体"/>
      <family val="3"/>
      <charset val="134"/>
      <scheme val="minor"/>
    </font>
    <font>
      <sz val="10.5"/>
      <color rgb="FF111111"/>
      <name val="Microsoft YaHei"/>
      <family val="2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Arial"/>
      <family val="2"/>
    </font>
    <font>
      <b/>
      <sz val="12"/>
      <color theme="1"/>
      <name val="Microsoft YaHei"/>
      <family val="2"/>
      <charset val="134"/>
    </font>
    <font>
      <b/>
      <sz val="11"/>
      <color theme="1"/>
      <name val="Arial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176" fontId="7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178" fontId="8" fillId="0" borderId="1" xfId="0" applyNumberFormat="1" applyFont="1" applyBorder="1" applyAlignment="1">
      <alignment horizontal="center" vertical="center"/>
    </xf>
    <xf numFmtId="14" fontId="4" fillId="0" borderId="5" xfId="0" applyNumberFormat="1" applyFont="1" applyBorder="1">
      <alignment vertical="center"/>
    </xf>
    <xf numFmtId="0" fontId="16" fillId="0" borderId="1" xfId="0" quotePrefix="1" applyFont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P7" sqref="P7"/>
    </sheetView>
  </sheetViews>
  <sheetFormatPr baseColWidth="10" defaultColWidth="9" defaultRowHeight="14"/>
  <cols>
    <col min="1" max="1" width="11.1640625" customWidth="1"/>
    <col min="2" max="2" width="35.33203125" customWidth="1"/>
    <col min="3" max="3" width="24.5" customWidth="1"/>
    <col min="4" max="4" width="23.6640625" customWidth="1"/>
    <col min="6" max="6" width="18.6640625" customWidth="1"/>
    <col min="7" max="7" width="13.5" customWidth="1"/>
    <col min="9" max="9" width="24.6640625" customWidth="1"/>
    <col min="10" max="10" width="47.5" customWidth="1"/>
    <col min="11" max="11" width="32.33203125" customWidth="1"/>
  </cols>
  <sheetData>
    <row r="1" spans="1:15" ht="46" customHeight="1">
      <c r="A1" s="47" t="s">
        <v>46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5" ht="16">
      <c r="A2" s="2" t="s">
        <v>0</v>
      </c>
      <c r="B2" s="2" t="s">
        <v>1</v>
      </c>
      <c r="C2" s="2" t="s">
        <v>2</v>
      </c>
      <c r="D2" s="2" t="s">
        <v>3</v>
      </c>
      <c r="E2" s="48" t="s">
        <v>4</v>
      </c>
      <c r="F2" s="40"/>
      <c r="G2" s="2" t="s">
        <v>5</v>
      </c>
      <c r="H2" s="2" t="s">
        <v>6</v>
      </c>
      <c r="I2" s="2" t="s">
        <v>7</v>
      </c>
      <c r="J2" s="2" t="s">
        <v>8</v>
      </c>
      <c r="K2" s="3" t="s">
        <v>9</v>
      </c>
      <c r="L2" s="2" t="s">
        <v>10</v>
      </c>
    </row>
    <row r="3" spans="1:15" s="1" customFormat="1" ht="107" customHeight="1">
      <c r="A3" s="36">
        <v>46094</v>
      </c>
      <c r="B3" s="34" t="s">
        <v>12</v>
      </c>
      <c r="C3" s="49" t="s">
        <v>13</v>
      </c>
      <c r="D3" s="49" t="s">
        <v>14</v>
      </c>
      <c r="E3" s="53" t="s">
        <v>15</v>
      </c>
      <c r="F3" s="54"/>
      <c r="G3" s="50">
        <v>3000</v>
      </c>
      <c r="H3" s="51">
        <v>0.93</v>
      </c>
      <c r="I3" s="52">
        <f>G3*H3</f>
        <v>2790</v>
      </c>
      <c r="J3" s="55" t="s">
        <v>24</v>
      </c>
      <c r="K3" s="37" t="s">
        <v>16</v>
      </c>
      <c r="L3" s="56" t="s">
        <v>17</v>
      </c>
    </row>
    <row r="4" spans="1:15" ht="62" customHeight="1">
      <c r="A4" s="36">
        <v>46095</v>
      </c>
      <c r="B4" s="34" t="s">
        <v>12</v>
      </c>
      <c r="C4" s="49" t="s">
        <v>18</v>
      </c>
      <c r="D4" s="49" t="s">
        <v>19</v>
      </c>
      <c r="E4" s="53" t="s">
        <v>20</v>
      </c>
      <c r="F4" s="54"/>
      <c r="G4" s="50">
        <v>10000</v>
      </c>
      <c r="H4" s="51">
        <v>1</v>
      </c>
      <c r="I4" s="52">
        <f>G4*H4</f>
        <v>10000</v>
      </c>
      <c r="J4" s="55" t="s">
        <v>24</v>
      </c>
      <c r="K4" s="37" t="s">
        <v>16</v>
      </c>
      <c r="L4" s="56" t="s">
        <v>17</v>
      </c>
    </row>
    <row r="5" spans="1:15" ht="52" customHeight="1">
      <c r="A5" s="36">
        <v>46100</v>
      </c>
      <c r="B5" s="34" t="s">
        <v>12</v>
      </c>
      <c r="C5" s="49" t="s">
        <v>21</v>
      </c>
      <c r="D5" s="49" t="s">
        <v>22</v>
      </c>
      <c r="E5" s="53" t="s">
        <v>23</v>
      </c>
      <c r="F5" s="54"/>
      <c r="G5" s="50">
        <v>2000</v>
      </c>
      <c r="H5" s="51">
        <v>2.15</v>
      </c>
      <c r="I5" s="52">
        <f>G5*H5</f>
        <v>4300</v>
      </c>
      <c r="J5" s="55" t="s">
        <v>25</v>
      </c>
      <c r="K5" s="37" t="s">
        <v>16</v>
      </c>
      <c r="L5" s="56" t="s">
        <v>17</v>
      </c>
    </row>
    <row r="6" spans="1:15" ht="56" customHeight="1">
      <c r="A6" s="36">
        <v>46099</v>
      </c>
      <c r="B6" s="34" t="s">
        <v>26</v>
      </c>
      <c r="C6" s="49" t="s">
        <v>29</v>
      </c>
      <c r="D6" s="49" t="s">
        <v>27</v>
      </c>
      <c r="E6" s="43" t="s">
        <v>32</v>
      </c>
      <c r="F6" s="44"/>
      <c r="G6" s="50">
        <v>1000</v>
      </c>
      <c r="H6" s="51">
        <v>4</v>
      </c>
      <c r="I6" s="52">
        <v>4000</v>
      </c>
      <c r="J6" s="38" t="s">
        <v>33</v>
      </c>
      <c r="K6" s="37" t="s">
        <v>16</v>
      </c>
      <c r="L6" s="4" t="s">
        <v>34</v>
      </c>
    </row>
    <row r="7" spans="1:15" ht="54" customHeight="1">
      <c r="A7" s="36"/>
      <c r="B7" s="34"/>
      <c r="C7" s="49" t="s">
        <v>30</v>
      </c>
      <c r="D7" s="49" t="s">
        <v>28</v>
      </c>
      <c r="E7" s="43" t="s">
        <v>31</v>
      </c>
      <c r="F7" s="44"/>
      <c r="G7" s="50">
        <v>1784</v>
      </c>
      <c r="H7" s="51">
        <v>7</v>
      </c>
      <c r="I7" s="52">
        <v>12488</v>
      </c>
      <c r="J7" s="38" t="s">
        <v>33</v>
      </c>
      <c r="K7" s="37" t="s">
        <v>16</v>
      </c>
      <c r="L7" s="4" t="s">
        <v>34</v>
      </c>
      <c r="O7" s="21"/>
    </row>
    <row r="8" spans="1:15" ht="42" customHeight="1">
      <c r="A8" s="36">
        <v>46101</v>
      </c>
      <c r="B8" s="34" t="s">
        <v>35</v>
      </c>
      <c r="C8" s="29" t="s">
        <v>36</v>
      </c>
      <c r="D8" s="30" t="s">
        <v>37</v>
      </c>
      <c r="E8" s="43" t="s">
        <v>38</v>
      </c>
      <c r="F8" s="44"/>
      <c r="G8" s="50">
        <v>3300</v>
      </c>
      <c r="H8" s="51">
        <v>0.82</v>
      </c>
      <c r="I8" s="52">
        <f>G8*H8</f>
        <v>2706</v>
      </c>
      <c r="J8" s="38" t="s">
        <v>39</v>
      </c>
      <c r="K8" s="37" t="s">
        <v>16</v>
      </c>
      <c r="L8" s="56" t="s">
        <v>17</v>
      </c>
    </row>
    <row r="9" spans="1:15" ht="42" customHeight="1">
      <c r="A9" s="36">
        <v>46101</v>
      </c>
      <c r="B9" s="34" t="s">
        <v>40</v>
      </c>
      <c r="C9" s="29" t="s">
        <v>41</v>
      </c>
      <c r="D9" s="30" t="s">
        <v>42</v>
      </c>
      <c r="E9" s="43" t="s">
        <v>43</v>
      </c>
      <c r="F9" s="44"/>
      <c r="G9" s="33">
        <v>200</v>
      </c>
      <c r="H9" s="31">
        <v>2.58</v>
      </c>
      <c r="I9" s="32">
        <v>516</v>
      </c>
      <c r="J9" s="55" t="s">
        <v>45</v>
      </c>
      <c r="K9" s="37" t="s">
        <v>44</v>
      </c>
      <c r="L9" s="4" t="s">
        <v>34</v>
      </c>
    </row>
    <row r="10" spans="1:15" ht="42" customHeight="1">
      <c r="A10" s="36">
        <v>46109</v>
      </c>
      <c r="B10" s="34" t="s">
        <v>47</v>
      </c>
      <c r="C10" s="29" t="s">
        <v>48</v>
      </c>
      <c r="D10" s="30" t="s">
        <v>49</v>
      </c>
      <c r="E10" s="43" t="s">
        <v>50</v>
      </c>
      <c r="F10" s="44"/>
      <c r="G10" s="33">
        <v>260</v>
      </c>
      <c r="H10" s="31">
        <v>5.3</v>
      </c>
      <c r="I10" s="32">
        <f>G10*H10</f>
        <v>1378</v>
      </c>
      <c r="J10" s="38" t="s">
        <v>51</v>
      </c>
      <c r="K10" s="37" t="s">
        <v>16</v>
      </c>
      <c r="L10" s="4" t="s">
        <v>34</v>
      </c>
    </row>
    <row r="11" spans="1:15" ht="42" customHeight="1">
      <c r="A11" s="36"/>
      <c r="B11" s="34"/>
      <c r="C11" s="29"/>
      <c r="D11" s="30"/>
      <c r="E11" s="43"/>
      <c r="F11" s="44"/>
      <c r="G11" s="33"/>
      <c r="H11" s="31"/>
      <c r="I11" s="32"/>
      <c r="J11" s="38"/>
      <c r="K11" s="37"/>
      <c r="L11" s="22"/>
    </row>
    <row r="12" spans="1:15" ht="42" customHeight="1">
      <c r="A12" s="36"/>
      <c r="B12" s="34"/>
      <c r="C12" s="29"/>
      <c r="D12" s="30"/>
      <c r="E12" s="43"/>
      <c r="F12" s="44"/>
      <c r="G12" s="33"/>
      <c r="H12" s="31"/>
      <c r="I12" s="32"/>
      <c r="J12" s="38"/>
      <c r="K12" s="37"/>
      <c r="L12" s="22"/>
    </row>
    <row r="13" spans="1:15" ht="72" customHeight="1">
      <c r="A13" s="6"/>
      <c r="B13" s="7"/>
      <c r="C13" s="4"/>
      <c r="D13" s="5"/>
      <c r="E13" s="39"/>
      <c r="F13" s="40"/>
      <c r="G13" s="3"/>
      <c r="H13" s="8" t="s">
        <v>11</v>
      </c>
      <c r="I13" s="35">
        <f>SUM(I3:I10)</f>
        <v>38178</v>
      </c>
      <c r="J13" s="7"/>
      <c r="K13" s="23"/>
      <c r="L13" s="24"/>
    </row>
    <row r="14" spans="1:15" ht="72" customHeight="1">
      <c r="A14" s="9"/>
      <c r="B14" s="10"/>
      <c r="C14" s="11"/>
      <c r="D14" s="12"/>
      <c r="E14" s="41"/>
      <c r="F14" s="42"/>
      <c r="G14" s="9"/>
      <c r="H14" s="14"/>
      <c r="I14" s="9"/>
      <c r="J14" s="11"/>
      <c r="K14" s="10"/>
      <c r="L14" s="25"/>
    </row>
    <row r="15" spans="1:15" ht="72" customHeight="1">
      <c r="A15" s="9"/>
      <c r="B15" s="13"/>
      <c r="C15" s="13"/>
      <c r="D15" s="12"/>
      <c r="E15" s="41"/>
      <c r="F15" s="42"/>
      <c r="G15" s="9"/>
      <c r="H15" s="14"/>
      <c r="I15" s="9"/>
      <c r="J15" s="13"/>
      <c r="K15" s="13"/>
      <c r="L15" s="25"/>
    </row>
    <row r="16" spans="1:15" ht="72" customHeight="1">
      <c r="A16" s="9"/>
      <c r="B16" s="13"/>
      <c r="C16" s="13"/>
      <c r="D16" s="15"/>
      <c r="E16" s="41"/>
      <c r="F16" s="42"/>
      <c r="G16" s="10"/>
      <c r="H16" s="16"/>
      <c r="I16" s="26"/>
      <c r="J16" s="13"/>
      <c r="K16" s="27"/>
      <c r="L16" s="9"/>
    </row>
    <row r="17" spans="1:12" ht="72" customHeight="1">
      <c r="A17" s="9"/>
      <c r="B17" s="13"/>
      <c r="C17" s="13"/>
      <c r="D17" s="15"/>
      <c r="E17" s="41"/>
      <c r="F17" s="42"/>
      <c r="G17" s="9"/>
      <c r="H17" s="14"/>
      <c r="I17" s="9"/>
      <c r="J17" s="13"/>
      <c r="K17" s="27"/>
      <c r="L17" s="9"/>
    </row>
    <row r="18" spans="1:12" ht="72" customHeight="1">
      <c r="A18" s="9"/>
      <c r="B18" s="13"/>
      <c r="C18" s="13"/>
      <c r="D18" s="15"/>
      <c r="E18" s="41"/>
      <c r="F18" s="42"/>
      <c r="G18" s="9"/>
      <c r="H18" s="14"/>
      <c r="I18" s="9"/>
      <c r="J18" s="13"/>
      <c r="K18" s="27"/>
      <c r="L18" s="9"/>
    </row>
    <row r="19" spans="1:12" ht="72" customHeight="1">
      <c r="A19" s="9"/>
      <c r="B19" s="13"/>
      <c r="C19" s="13"/>
      <c r="D19" s="15"/>
      <c r="E19" s="41"/>
      <c r="F19" s="42"/>
      <c r="G19" s="9"/>
      <c r="H19" s="14"/>
      <c r="I19" s="9"/>
      <c r="J19" s="13"/>
      <c r="K19" s="27"/>
      <c r="L19" s="9"/>
    </row>
    <row r="20" spans="1:12" ht="72" customHeight="1">
      <c r="A20" s="9"/>
      <c r="B20" s="13"/>
      <c r="C20" s="13"/>
      <c r="D20" s="15"/>
      <c r="E20" s="41"/>
      <c r="F20" s="42"/>
      <c r="G20" s="9"/>
      <c r="H20" s="14"/>
      <c r="I20" s="9"/>
      <c r="J20" s="13"/>
      <c r="K20" s="27"/>
      <c r="L20" s="9"/>
    </row>
    <row r="21" spans="1:12" ht="52" customHeight="1">
      <c r="A21" s="9"/>
      <c r="B21" s="13"/>
      <c r="C21" s="13"/>
      <c r="D21" s="15"/>
      <c r="E21" s="41"/>
      <c r="F21" s="42"/>
      <c r="G21" s="9"/>
      <c r="H21" s="14"/>
      <c r="I21" s="9"/>
      <c r="J21" s="13"/>
      <c r="K21" s="27"/>
      <c r="L21" s="9"/>
    </row>
    <row r="22" spans="1:12" ht="79" customHeight="1">
      <c r="A22" s="17"/>
      <c r="B22" s="18"/>
      <c r="C22" s="18"/>
      <c r="D22" s="19"/>
      <c r="E22" s="45"/>
      <c r="F22" s="46"/>
      <c r="G22" s="17"/>
      <c r="H22" s="20"/>
      <c r="I22" s="17"/>
      <c r="J22" s="18"/>
      <c r="K22" s="28"/>
      <c r="L22" s="17"/>
    </row>
    <row r="23" spans="1:12" ht="59" customHeight="1"/>
    <row r="24" spans="1:12" ht="17" customHeight="1"/>
    <row r="25" spans="1:12" ht="18" customHeight="1"/>
    <row r="26" spans="1:12" ht="18" customHeight="1"/>
    <row r="27" spans="1:12" ht="12" customHeight="1"/>
    <row r="28" spans="1:12" ht="13" customHeight="1"/>
    <row r="29" spans="1:12" ht="13" customHeight="1"/>
    <row r="30" spans="1:12" ht="99" hidden="1" customHeight="1"/>
  </sheetData>
  <mergeCells count="22">
    <mergeCell ref="E6:F6"/>
    <mergeCell ref="E7:F7"/>
    <mergeCell ref="A1:L1"/>
    <mergeCell ref="E2:F2"/>
    <mergeCell ref="E3:F3"/>
    <mergeCell ref="E4:F4"/>
    <mergeCell ref="E5:F5"/>
    <mergeCell ref="E21:F21"/>
    <mergeCell ref="E22:F22"/>
    <mergeCell ref="E14:F14"/>
    <mergeCell ref="E15:F15"/>
    <mergeCell ref="E16:F16"/>
    <mergeCell ref="E17:F17"/>
    <mergeCell ref="E18:F18"/>
    <mergeCell ref="E13:F13"/>
    <mergeCell ref="E19:F19"/>
    <mergeCell ref="E20:F20"/>
    <mergeCell ref="E8:F8"/>
    <mergeCell ref="E9:F9"/>
    <mergeCell ref="E10:F10"/>
    <mergeCell ref="E11:F11"/>
    <mergeCell ref="E12:F12"/>
  </mergeCells>
  <phoneticPr fontId="12" type="noConversion"/>
  <pageMargins left="0.25" right="0.25" top="0.75" bottom="0.75" header="0.29861111111111099" footer="0.29861111111111099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zy187</cp:lastModifiedBy>
  <dcterms:created xsi:type="dcterms:W3CDTF">2023-05-12T11:15:00Z</dcterms:created>
  <dcterms:modified xsi:type="dcterms:W3CDTF">2026-04-03T13:30:23Z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46226C1F6101467B9A6BF2F59644A0D8_12</vt:lpwstr>
  </property>
</Properties>
</file>