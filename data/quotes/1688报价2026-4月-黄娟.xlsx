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5"/>
  </bookViews>
  <sheets>
    <sheet name="0401广州麦柯黎雅化妆品工厂" sheetId="1" r:id="rId1"/>
    <sheet name="0401江苏维凯" sheetId="2" r:id="rId2"/>
    <sheet name="0402欣梦创想" sheetId="3" r:id="rId3"/>
    <sheet name="0402鸽士锋" sheetId="4" r:id="rId4"/>
    <sheet name="0402 3987p" sheetId="5" r:id="rId5"/>
    <sheet name="0403鸽士锋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<sst xmlns="http://schemas.openxmlformats.org/spreadsheetml/2006/main" count="640" uniqueCount="116">
  <si>
    <r>
      <rPr>
        <b/>
        <sz val="24"/>
        <color theme="1"/>
        <rFont val="宋体"/>
        <charset val="134"/>
      </rPr>
      <t>东莞市彩嘉印刷有限公司</t>
    </r>
  </si>
  <si>
    <r>
      <rPr>
        <b/>
        <sz val="18"/>
        <color theme="1"/>
        <rFont val="宋体"/>
        <charset val="134"/>
      </rPr>
      <t>报价单</t>
    </r>
  </si>
  <si>
    <r>
      <rPr>
        <b/>
        <sz val="11"/>
        <color theme="1"/>
        <rFont val="宋体"/>
        <charset val="134"/>
      </rPr>
      <t>项目</t>
    </r>
  </si>
  <si>
    <r>
      <rPr>
        <b/>
        <sz val="11"/>
        <color theme="1"/>
        <rFont val="宋体"/>
        <charset val="134"/>
      </rPr>
      <t>材质</t>
    </r>
  </si>
  <si>
    <r>
      <rPr>
        <b/>
        <sz val="11"/>
        <color theme="1"/>
        <rFont val="宋体"/>
        <charset val="134"/>
      </rPr>
      <t>基数</t>
    </r>
  </si>
  <si>
    <r>
      <rPr>
        <b/>
        <sz val="11"/>
        <color theme="1"/>
        <rFont val="宋体"/>
        <charset val="134"/>
      </rPr>
      <t>长</t>
    </r>
  </si>
  <si>
    <r>
      <rPr>
        <b/>
        <sz val="11"/>
        <color theme="1"/>
        <rFont val="宋体"/>
        <charset val="134"/>
      </rPr>
      <t>宽</t>
    </r>
  </si>
  <si>
    <r>
      <rPr>
        <b/>
        <sz val="11"/>
        <color theme="1"/>
        <rFont val="宋体"/>
        <charset val="134"/>
      </rPr>
      <t>吨价</t>
    </r>
  </si>
  <si>
    <r>
      <rPr>
        <b/>
        <sz val="8"/>
        <color theme="1"/>
        <rFont val="宋体"/>
        <charset val="134"/>
      </rPr>
      <t>数量</t>
    </r>
    <r>
      <rPr>
        <b/>
        <sz val="8"/>
        <color theme="1"/>
        <rFont val="Arial"/>
        <charset val="134"/>
      </rPr>
      <t>(</t>
    </r>
    <r>
      <rPr>
        <b/>
        <sz val="8"/>
        <color indexed="8"/>
        <rFont val="Arial"/>
        <charset val="0"/>
      </rPr>
      <t>+</t>
    </r>
    <r>
      <rPr>
        <b/>
        <sz val="8"/>
        <color theme="1"/>
        <rFont val="宋体"/>
        <charset val="134"/>
      </rPr>
      <t>抛纸</t>
    </r>
    <r>
      <rPr>
        <b/>
        <sz val="8"/>
        <color theme="1"/>
        <rFont val="Arial"/>
        <charset val="134"/>
      </rPr>
      <t>)</t>
    </r>
  </si>
  <si>
    <r>
      <rPr>
        <b/>
        <sz val="11"/>
        <color theme="1"/>
        <rFont val="宋体"/>
        <charset val="134"/>
      </rPr>
      <t>金额</t>
    </r>
  </si>
  <si>
    <r>
      <rPr>
        <b/>
        <sz val="11"/>
        <color theme="1"/>
        <rFont val="宋体"/>
        <charset val="134"/>
      </rPr>
      <t>单价</t>
    </r>
  </si>
  <si>
    <r>
      <rPr>
        <b/>
        <sz val="11"/>
        <color theme="1"/>
        <rFont val="宋体"/>
        <charset val="134"/>
      </rPr>
      <t>实际数量</t>
    </r>
  </si>
  <si>
    <r>
      <rPr>
        <b/>
        <sz val="12"/>
        <color theme="1"/>
        <rFont val="Arial"/>
        <charset val="134"/>
      </rPr>
      <t xml:space="preserve"> </t>
    </r>
    <r>
      <rPr>
        <b/>
        <sz val="12"/>
        <color theme="1"/>
        <rFont val="宋体"/>
        <charset val="134"/>
      </rPr>
      <t>地址</t>
    </r>
    <r>
      <rPr>
        <b/>
        <sz val="12"/>
        <color theme="1"/>
        <rFont val="Arial"/>
        <charset val="134"/>
      </rPr>
      <t>:</t>
    </r>
    <r>
      <rPr>
        <b/>
        <sz val="12"/>
        <color theme="1"/>
        <rFont val="宋体"/>
        <charset val="134"/>
      </rPr>
      <t>广东省东莞市樟木头镇古坑金河管理区金岭路</t>
    </r>
    <r>
      <rPr>
        <b/>
        <sz val="12"/>
        <color theme="1"/>
        <rFont val="Arial"/>
        <charset val="134"/>
      </rPr>
      <t>80</t>
    </r>
    <r>
      <rPr>
        <b/>
        <sz val="12"/>
        <color theme="1"/>
        <rFont val="宋体"/>
        <charset val="134"/>
      </rPr>
      <t>号</t>
    </r>
    <r>
      <rPr>
        <b/>
        <sz val="12"/>
        <color theme="1"/>
        <rFont val="Arial"/>
        <charset val="134"/>
      </rPr>
      <t xml:space="preserve">                                                                                                                                                                   </t>
    </r>
    <r>
      <rPr>
        <b/>
        <sz val="12"/>
        <color theme="1"/>
        <rFont val="宋体"/>
        <charset val="134"/>
      </rPr>
      <t>电话</t>
    </r>
    <r>
      <rPr>
        <b/>
        <sz val="12"/>
        <color theme="1"/>
        <rFont val="Arial"/>
        <charset val="134"/>
      </rPr>
      <t xml:space="preserve">:0769-87713462 87705921 87191887     </t>
    </r>
    <r>
      <rPr>
        <b/>
        <sz val="12"/>
        <color theme="1"/>
        <rFont val="宋体"/>
        <charset val="134"/>
      </rPr>
      <t>传真</t>
    </r>
    <r>
      <rPr>
        <b/>
        <sz val="12"/>
        <color theme="1"/>
        <rFont val="Arial"/>
        <charset val="134"/>
      </rPr>
      <t xml:space="preserve">:0769-87701135 </t>
    </r>
  </si>
  <si>
    <r>
      <rPr>
        <sz val="11"/>
        <color theme="1"/>
        <rFont val="宋体"/>
        <charset val="134"/>
      </rPr>
      <t>面纸</t>
    </r>
  </si>
  <si>
    <r>
      <rPr>
        <b/>
        <sz val="12"/>
        <color theme="1"/>
        <rFont val="Arial"/>
        <charset val="134"/>
      </rPr>
      <t xml:space="preserve"> </t>
    </r>
    <r>
      <rPr>
        <b/>
        <sz val="12"/>
        <color theme="1"/>
        <rFont val="宋体"/>
        <charset val="134"/>
      </rPr>
      <t>邮箱</t>
    </r>
    <r>
      <rPr>
        <b/>
        <sz val="12"/>
        <color theme="1"/>
        <rFont val="Arial"/>
        <charset val="134"/>
      </rPr>
      <t xml:space="preserve">:xjdggd@163.com                 </t>
    </r>
    <r>
      <rPr>
        <b/>
        <sz val="12"/>
        <color theme="1"/>
        <rFont val="宋体"/>
        <charset val="134"/>
      </rPr>
      <t>联系人：黄娟</t>
    </r>
    <r>
      <rPr>
        <b/>
        <sz val="12"/>
        <color theme="1"/>
        <rFont val="Arial"/>
        <charset val="134"/>
      </rPr>
      <t xml:space="preserve">       </t>
    </r>
    <r>
      <rPr>
        <b/>
        <sz val="12"/>
        <color theme="1"/>
        <rFont val="宋体"/>
        <charset val="134"/>
      </rPr>
      <t>手机号：</t>
    </r>
    <r>
      <rPr>
        <b/>
        <sz val="12"/>
        <color theme="1"/>
        <rFont val="Arial"/>
        <charset val="134"/>
      </rPr>
      <t xml:space="preserve">13925870501    </t>
    </r>
    <r>
      <rPr>
        <b/>
        <sz val="12"/>
        <color theme="1"/>
        <rFont val="宋体"/>
        <charset val="134"/>
      </rPr>
      <t>微信同号</t>
    </r>
    <r>
      <rPr>
        <b/>
        <sz val="12"/>
        <color theme="1"/>
        <rFont val="Arial"/>
        <charset val="134"/>
      </rPr>
      <t xml:space="preserve">  </t>
    </r>
  </si>
  <si>
    <r>
      <rPr>
        <sz val="11"/>
        <color theme="1"/>
        <rFont val="宋体"/>
        <charset val="134"/>
      </rPr>
      <t>材质</t>
    </r>
  </si>
  <si>
    <r>
      <rPr>
        <sz val="12"/>
        <color theme="1"/>
        <rFont val="宋体"/>
        <charset val="0"/>
      </rPr>
      <t>坑纸</t>
    </r>
  </si>
  <si>
    <t>W9+</t>
  </si>
  <si>
    <r>
      <rPr>
        <b/>
        <sz val="12"/>
        <color theme="1"/>
        <rFont val="宋体"/>
        <charset val="134"/>
      </rPr>
      <t>哑胶</t>
    </r>
  </si>
  <si>
    <r>
      <rPr>
        <b/>
        <sz val="14"/>
        <color theme="1"/>
        <rFont val="宋体"/>
        <charset val="134"/>
      </rPr>
      <t>客户：</t>
    </r>
    <r>
      <rPr>
        <b/>
        <sz val="14"/>
        <color theme="1"/>
        <rFont val="Arial"/>
        <charset val="134"/>
      </rPr>
      <t xml:space="preserve">                           </t>
    </r>
  </si>
  <si>
    <r>
      <rPr>
        <sz val="11"/>
        <color rgb="FF111111"/>
        <rFont val="宋体"/>
        <charset val="134"/>
      </rPr>
      <t>广州麦柯黎雅化妆品工厂</t>
    </r>
  </si>
  <si>
    <r>
      <rPr>
        <b/>
        <sz val="14"/>
        <color theme="1"/>
        <rFont val="宋体"/>
        <charset val="134"/>
      </rPr>
      <t>报价日期：</t>
    </r>
  </si>
  <si>
    <r>
      <rPr>
        <sz val="12"/>
        <color theme="1"/>
        <rFont val="宋体"/>
        <charset val="134"/>
      </rPr>
      <t>刀模</t>
    </r>
  </si>
  <si>
    <r>
      <rPr>
        <b/>
        <sz val="11"/>
        <rFont val="宋体"/>
        <charset val="134"/>
      </rPr>
      <t>品</t>
    </r>
    <r>
      <rPr>
        <b/>
        <sz val="11"/>
        <rFont val="Arial"/>
        <charset val="134"/>
      </rPr>
      <t xml:space="preserve"> </t>
    </r>
    <r>
      <rPr>
        <b/>
        <sz val="11"/>
        <rFont val="宋体"/>
        <charset val="134"/>
      </rPr>
      <t>名</t>
    </r>
  </si>
  <si>
    <r>
      <rPr>
        <b/>
        <sz val="11"/>
        <rFont val="宋体"/>
        <charset val="134"/>
      </rPr>
      <t>规格</t>
    </r>
  </si>
  <si>
    <r>
      <rPr>
        <b/>
        <sz val="11"/>
        <rFont val="宋体"/>
        <charset val="134"/>
      </rPr>
      <t>材质</t>
    </r>
    <r>
      <rPr>
        <b/>
        <sz val="11"/>
        <rFont val="Arial"/>
        <charset val="0"/>
      </rPr>
      <t>+</t>
    </r>
    <r>
      <rPr>
        <b/>
        <sz val="11"/>
        <rFont val="宋体"/>
        <charset val="134"/>
      </rPr>
      <t>颜色</t>
    </r>
    <r>
      <rPr>
        <b/>
        <sz val="11"/>
        <rFont val="Arial"/>
        <charset val="0"/>
      </rPr>
      <t>+</t>
    </r>
    <r>
      <rPr>
        <b/>
        <sz val="11"/>
        <rFont val="宋体"/>
        <charset val="134"/>
      </rPr>
      <t>工艺</t>
    </r>
  </si>
  <si>
    <r>
      <rPr>
        <b/>
        <sz val="11"/>
        <rFont val="宋体"/>
        <charset val="134"/>
      </rPr>
      <t>数量</t>
    </r>
  </si>
  <si>
    <r>
      <rPr>
        <b/>
        <sz val="11"/>
        <rFont val="宋体"/>
        <charset val="134"/>
      </rPr>
      <t>单价</t>
    </r>
  </si>
  <si>
    <r>
      <rPr>
        <b/>
        <sz val="11"/>
        <rFont val="宋体"/>
        <charset val="134"/>
      </rPr>
      <t>金额</t>
    </r>
  </si>
  <si>
    <r>
      <rPr>
        <b/>
        <sz val="11"/>
        <rFont val="宋体"/>
        <charset val="134"/>
      </rPr>
      <t>备注</t>
    </r>
  </si>
  <si>
    <r>
      <rPr>
        <b/>
        <sz val="11"/>
        <rFont val="宋体"/>
        <charset val="134"/>
      </rPr>
      <t>展开</t>
    </r>
  </si>
  <si>
    <r>
      <rPr>
        <b/>
        <sz val="12"/>
        <color theme="1"/>
        <rFont val="宋体"/>
        <charset val="134"/>
      </rPr>
      <t>裱坑</t>
    </r>
    <r>
      <rPr>
        <b/>
        <sz val="12"/>
        <color theme="1"/>
        <rFont val="Arial"/>
        <charset val="0"/>
      </rPr>
      <t>/</t>
    </r>
    <r>
      <rPr>
        <b/>
        <sz val="12"/>
        <color theme="1"/>
        <rFont val="宋体"/>
        <charset val="134"/>
      </rPr>
      <t>纸</t>
    </r>
  </si>
  <si>
    <r>
      <rPr>
        <sz val="11"/>
        <color theme="1"/>
        <rFont val="宋体"/>
        <charset val="134"/>
      </rPr>
      <t>啤机</t>
    </r>
  </si>
  <si>
    <r>
      <rPr>
        <sz val="9"/>
        <color theme="1"/>
        <rFont val="宋体"/>
        <charset val="134"/>
      </rPr>
      <t>排几模就</t>
    </r>
    <r>
      <rPr>
        <sz val="9"/>
        <color theme="1"/>
        <rFont val="Arial"/>
        <charset val="134"/>
      </rPr>
      <t>0.1/</t>
    </r>
    <r>
      <rPr>
        <sz val="9"/>
        <color theme="1"/>
        <rFont val="宋体"/>
        <charset val="134"/>
      </rPr>
      <t>几模</t>
    </r>
  </si>
  <si>
    <r>
      <rPr>
        <sz val="11"/>
        <color theme="1"/>
        <rFont val="Arial"/>
        <charset val="0"/>
      </rPr>
      <t>0.1/</t>
    </r>
    <r>
      <rPr>
        <sz val="11"/>
        <color theme="1"/>
        <rFont val="宋体"/>
        <charset val="134"/>
      </rPr>
      <t>啤</t>
    </r>
    <r>
      <rPr>
        <sz val="11"/>
        <color theme="1"/>
        <rFont val="Arial"/>
        <charset val="0"/>
      </rPr>
      <t>1</t>
    </r>
    <r>
      <rPr>
        <sz val="11"/>
        <color theme="1"/>
        <rFont val="宋体"/>
        <charset val="134"/>
      </rPr>
      <t>次</t>
    </r>
  </si>
  <si>
    <r>
      <rPr>
        <sz val="11"/>
        <color theme="1"/>
        <rFont val="Arial"/>
        <charset val="0"/>
      </rPr>
      <t>1</t>
    </r>
    <r>
      <rPr>
        <sz val="11"/>
        <color theme="1"/>
        <rFont val="宋体"/>
        <charset val="134"/>
      </rPr>
      <t>张纸</t>
    </r>
    <r>
      <rPr>
        <sz val="11"/>
        <color theme="1"/>
        <rFont val="Arial"/>
        <charset val="0"/>
      </rPr>
      <t>0.1</t>
    </r>
    <r>
      <rPr>
        <sz val="11"/>
        <color theme="1"/>
        <rFont val="宋体"/>
        <charset val="134"/>
      </rPr>
      <t>元</t>
    </r>
  </si>
  <si>
    <r>
      <rPr>
        <b/>
        <sz val="11"/>
        <color theme="1"/>
        <rFont val="宋体"/>
        <charset val="134"/>
      </rPr>
      <t>中盒</t>
    </r>
  </si>
  <si>
    <t>170x499x184mm</t>
  </si>
  <si>
    <r>
      <rPr>
        <b/>
        <sz val="9"/>
        <rFont val="Arial"/>
        <charset val="134"/>
      </rPr>
      <t>350g</t>
    </r>
    <r>
      <rPr>
        <b/>
        <sz val="9"/>
        <rFont val="宋体"/>
        <charset val="134"/>
      </rPr>
      <t>白卡裱</t>
    </r>
    <r>
      <rPr>
        <b/>
        <sz val="9"/>
        <rFont val="Arial"/>
        <charset val="134"/>
      </rPr>
      <t>WE</t>
    </r>
    <r>
      <rPr>
        <b/>
        <sz val="9"/>
        <rFont val="宋体"/>
        <charset val="134"/>
      </rPr>
      <t>坑</t>
    </r>
    <r>
      <rPr>
        <b/>
        <sz val="9"/>
        <rFont val="Arial"/>
        <charset val="134"/>
      </rPr>
      <t>+2</t>
    </r>
    <r>
      <rPr>
        <b/>
        <sz val="9"/>
        <rFont val="宋体"/>
        <charset val="134"/>
      </rPr>
      <t>专</t>
    </r>
    <r>
      <rPr>
        <b/>
        <sz val="9"/>
        <rFont val="Arial"/>
        <charset val="134"/>
      </rPr>
      <t>+</t>
    </r>
    <r>
      <rPr>
        <b/>
        <sz val="9"/>
        <rFont val="宋体"/>
        <charset val="134"/>
      </rPr>
      <t>黑</t>
    </r>
    <r>
      <rPr>
        <b/>
        <sz val="9"/>
        <rFont val="Arial"/>
        <charset val="134"/>
      </rPr>
      <t>+</t>
    </r>
    <r>
      <rPr>
        <b/>
        <sz val="9"/>
        <rFont val="宋体"/>
        <charset val="134"/>
      </rPr>
      <t>覆哑膜</t>
    </r>
    <r>
      <rPr>
        <b/>
        <sz val="9"/>
        <rFont val="Arial"/>
        <charset val="134"/>
      </rPr>
      <t>+</t>
    </r>
    <r>
      <rPr>
        <b/>
        <sz val="9"/>
        <rFont val="宋体"/>
        <charset val="134"/>
      </rPr>
      <t>裱</t>
    </r>
    <r>
      <rPr>
        <b/>
        <sz val="9"/>
        <rFont val="Arial"/>
        <charset val="134"/>
      </rPr>
      <t>+</t>
    </r>
    <r>
      <rPr>
        <b/>
        <sz val="9"/>
        <rFont val="宋体"/>
        <charset val="134"/>
      </rPr>
      <t>啤</t>
    </r>
    <r>
      <rPr>
        <b/>
        <sz val="9"/>
        <rFont val="Arial"/>
        <charset val="134"/>
      </rPr>
      <t>+</t>
    </r>
    <r>
      <rPr>
        <b/>
        <sz val="9"/>
        <rFont val="宋体"/>
        <charset val="134"/>
      </rPr>
      <t>粘</t>
    </r>
  </si>
  <si>
    <t>67.1x116.8cm</t>
  </si>
  <si>
    <r>
      <rPr>
        <sz val="12"/>
        <color theme="1"/>
        <rFont val="宋体"/>
        <charset val="134"/>
      </rPr>
      <t>印刷费</t>
    </r>
  </si>
  <si>
    <r>
      <rPr>
        <sz val="12"/>
        <color theme="1"/>
        <rFont val="宋体"/>
        <charset val="0"/>
      </rPr>
      <t>外发印</t>
    </r>
  </si>
  <si>
    <r>
      <rPr>
        <sz val="12"/>
        <color theme="1"/>
        <rFont val="宋体"/>
        <charset val="0"/>
      </rPr>
      <t>粘盒</t>
    </r>
  </si>
  <si>
    <r>
      <rPr>
        <sz val="12"/>
        <color theme="1"/>
        <rFont val="宋体"/>
        <charset val="134"/>
      </rPr>
      <t>机器粘</t>
    </r>
    <r>
      <rPr>
        <sz val="12"/>
        <color theme="1"/>
        <rFont val="Arial"/>
        <charset val="0"/>
      </rPr>
      <t>0.05</t>
    </r>
    <r>
      <rPr>
        <sz val="12"/>
        <color theme="1"/>
        <rFont val="宋体"/>
        <charset val="134"/>
      </rPr>
      <t>元</t>
    </r>
    <r>
      <rPr>
        <sz val="12"/>
        <color theme="1"/>
        <rFont val="Arial"/>
        <charset val="0"/>
      </rPr>
      <t>/</t>
    </r>
    <r>
      <rPr>
        <sz val="12"/>
        <color theme="1"/>
        <rFont val="宋体"/>
        <charset val="134"/>
      </rPr>
      <t>个，手工</t>
    </r>
    <r>
      <rPr>
        <sz val="12"/>
        <color theme="1"/>
        <rFont val="Arial"/>
        <charset val="0"/>
      </rPr>
      <t>0.1-0.2</t>
    </r>
    <r>
      <rPr>
        <sz val="12"/>
        <color theme="1"/>
        <rFont val="宋体"/>
        <charset val="134"/>
      </rPr>
      <t>元不等。</t>
    </r>
  </si>
  <si>
    <r>
      <rPr>
        <b/>
        <sz val="11"/>
        <color theme="1"/>
        <rFont val="宋体"/>
        <charset val="134"/>
      </rPr>
      <t>彩盒</t>
    </r>
  </si>
  <si>
    <t>163x82x177mm</t>
  </si>
  <si>
    <r>
      <rPr>
        <sz val="11"/>
        <color theme="1"/>
        <rFont val="Arial"/>
        <charset val="134"/>
      </rPr>
      <t>2</t>
    </r>
    <r>
      <rPr>
        <sz val="11"/>
        <color theme="1"/>
        <rFont val="宋体"/>
        <charset val="134"/>
      </rPr>
      <t>款为一套</t>
    </r>
  </si>
  <si>
    <r>
      <rPr>
        <b/>
        <sz val="10"/>
        <color theme="1"/>
        <rFont val="Arial"/>
        <charset val="134"/>
      </rPr>
      <t>50.5x62.4cmx</t>
    </r>
    <r>
      <rPr>
        <b/>
        <sz val="10"/>
        <color theme="1"/>
        <rFont val="宋体"/>
        <charset val="134"/>
      </rPr>
      <t>各</t>
    </r>
    <r>
      <rPr>
        <b/>
        <sz val="10"/>
        <color theme="1"/>
        <rFont val="Arial"/>
        <charset val="134"/>
      </rPr>
      <t>1m</t>
    </r>
  </si>
  <si>
    <r>
      <rPr>
        <b/>
        <sz val="11"/>
        <color theme="1"/>
        <rFont val="宋体"/>
        <charset val="134"/>
      </rPr>
      <t>合计：</t>
    </r>
  </si>
  <si>
    <r>
      <rPr>
        <b/>
        <sz val="11"/>
        <color theme="1"/>
        <rFont val="宋体"/>
        <charset val="134"/>
      </rPr>
      <t>纸内托</t>
    </r>
  </si>
  <si>
    <t>161x80x175mm</t>
  </si>
  <si>
    <r>
      <rPr>
        <b/>
        <sz val="9"/>
        <rFont val="Arial"/>
        <charset val="134"/>
      </rPr>
      <t>500g</t>
    </r>
    <r>
      <rPr>
        <b/>
        <sz val="9"/>
        <rFont val="宋体"/>
        <charset val="134"/>
      </rPr>
      <t>白卡（已对裱）</t>
    </r>
    <r>
      <rPr>
        <b/>
        <sz val="9"/>
        <rFont val="Arial"/>
        <charset val="134"/>
      </rPr>
      <t>+3</t>
    </r>
    <r>
      <rPr>
        <b/>
        <sz val="9"/>
        <rFont val="宋体"/>
        <charset val="134"/>
      </rPr>
      <t>专</t>
    </r>
    <r>
      <rPr>
        <b/>
        <sz val="9"/>
        <rFont val="Arial"/>
        <charset val="134"/>
      </rPr>
      <t>+</t>
    </r>
    <r>
      <rPr>
        <b/>
        <sz val="9"/>
        <rFont val="宋体"/>
        <charset val="134"/>
      </rPr>
      <t>覆哑膜</t>
    </r>
    <r>
      <rPr>
        <b/>
        <sz val="9"/>
        <rFont val="Arial"/>
        <charset val="134"/>
      </rPr>
      <t>+</t>
    </r>
    <r>
      <rPr>
        <b/>
        <sz val="9"/>
        <rFont val="宋体"/>
        <charset val="134"/>
      </rPr>
      <t>裱</t>
    </r>
    <r>
      <rPr>
        <b/>
        <sz val="9"/>
        <rFont val="Arial"/>
        <charset val="134"/>
      </rPr>
      <t>+</t>
    </r>
    <r>
      <rPr>
        <b/>
        <sz val="9"/>
        <rFont val="宋体"/>
        <charset val="134"/>
      </rPr>
      <t>啤</t>
    </r>
  </si>
  <si>
    <r>
      <rPr>
        <b/>
        <sz val="11"/>
        <color theme="1"/>
        <rFont val="宋体"/>
        <charset val="0"/>
      </rPr>
      <t>单位</t>
    </r>
    <r>
      <rPr>
        <b/>
        <sz val="11"/>
        <color theme="1"/>
        <rFont val="Arial"/>
        <charset val="0"/>
      </rPr>
      <t>:cm</t>
    </r>
  </si>
  <si>
    <r>
      <rPr>
        <b/>
        <sz val="11"/>
        <color theme="1"/>
        <rFont val="宋体"/>
        <charset val="134"/>
      </rPr>
      <t>报价</t>
    </r>
    <r>
      <rPr>
        <b/>
        <sz val="11"/>
        <color theme="1"/>
        <rFont val="Arial"/>
        <charset val="0"/>
      </rPr>
      <t>*1.2</t>
    </r>
    <r>
      <rPr>
        <b/>
        <sz val="11"/>
        <color theme="1"/>
        <rFont val="宋体"/>
        <charset val="134"/>
      </rPr>
      <t>倍</t>
    </r>
  </si>
  <si>
    <r>
      <rPr>
        <b/>
        <sz val="11"/>
        <color theme="1"/>
        <rFont val="宋体"/>
        <charset val="134"/>
      </rPr>
      <t>白盒</t>
    </r>
    <r>
      <rPr>
        <b/>
        <sz val="11"/>
        <color theme="1"/>
        <rFont val="Arial"/>
        <charset val="134"/>
      </rPr>
      <t>1</t>
    </r>
  </si>
  <si>
    <t>79x24x170mm</t>
  </si>
  <si>
    <r>
      <rPr>
        <b/>
        <sz val="9"/>
        <rFont val="Arial"/>
        <charset val="134"/>
      </rPr>
      <t>350g</t>
    </r>
    <r>
      <rPr>
        <b/>
        <sz val="9"/>
        <rFont val="宋体"/>
        <charset val="134"/>
      </rPr>
      <t>白卡</t>
    </r>
    <r>
      <rPr>
        <b/>
        <sz val="9"/>
        <rFont val="Arial"/>
        <charset val="134"/>
      </rPr>
      <t>+</t>
    </r>
    <r>
      <rPr>
        <b/>
        <sz val="9"/>
        <rFont val="宋体"/>
        <charset val="134"/>
      </rPr>
      <t>无印刷</t>
    </r>
    <r>
      <rPr>
        <b/>
        <sz val="9"/>
        <rFont val="Arial"/>
        <charset val="134"/>
      </rPr>
      <t>+</t>
    </r>
    <r>
      <rPr>
        <b/>
        <sz val="9"/>
        <rFont val="宋体"/>
        <charset val="134"/>
      </rPr>
      <t>覆哑膜</t>
    </r>
    <r>
      <rPr>
        <b/>
        <sz val="9"/>
        <rFont val="Arial"/>
        <charset val="134"/>
      </rPr>
      <t>+</t>
    </r>
    <r>
      <rPr>
        <b/>
        <sz val="9"/>
        <rFont val="宋体"/>
        <charset val="134"/>
      </rPr>
      <t>裱</t>
    </r>
    <r>
      <rPr>
        <b/>
        <sz val="9"/>
        <rFont val="Arial"/>
        <charset val="134"/>
      </rPr>
      <t>+</t>
    </r>
    <r>
      <rPr>
        <b/>
        <sz val="9"/>
        <rFont val="宋体"/>
        <charset val="134"/>
      </rPr>
      <t>啤</t>
    </r>
    <r>
      <rPr>
        <b/>
        <sz val="9"/>
        <rFont val="Arial"/>
        <charset val="134"/>
      </rPr>
      <t>+</t>
    </r>
    <r>
      <rPr>
        <b/>
        <sz val="9"/>
        <rFont val="宋体"/>
        <charset val="134"/>
      </rPr>
      <t>粘盒</t>
    </r>
  </si>
  <si>
    <t>46.8x40.9cmx2m</t>
  </si>
  <si>
    <r>
      <rPr>
        <sz val="12"/>
        <color theme="1"/>
        <rFont val="宋体"/>
        <charset val="0"/>
      </rPr>
      <t>驳接</t>
    </r>
  </si>
  <si>
    <r>
      <rPr>
        <b/>
        <sz val="11"/>
        <color theme="1"/>
        <rFont val="宋体"/>
        <charset val="134"/>
      </rPr>
      <t>白盒</t>
    </r>
    <r>
      <rPr>
        <b/>
        <sz val="11"/>
        <color theme="1"/>
        <rFont val="Arial"/>
        <charset val="134"/>
      </rPr>
      <t>2</t>
    </r>
  </si>
  <si>
    <t>79x32x110mm</t>
  </si>
  <si>
    <t>说明书</t>
  </si>
  <si>
    <t>220x170mm</t>
  </si>
  <si>
    <r>
      <rPr>
        <b/>
        <sz val="9"/>
        <rFont val="Arial"/>
        <charset val="134"/>
      </rPr>
      <t>80g</t>
    </r>
    <r>
      <rPr>
        <b/>
        <sz val="9"/>
        <rFont val="宋体"/>
        <charset val="134"/>
      </rPr>
      <t>双胶纸，单面印</t>
    </r>
  </si>
  <si>
    <r>
      <rPr>
        <sz val="11"/>
        <color theme="1"/>
        <rFont val="宋体"/>
        <charset val="0"/>
      </rPr>
      <t>以下为空白</t>
    </r>
  </si>
  <si>
    <r>
      <rPr>
        <b/>
        <sz val="12"/>
        <color theme="1"/>
        <rFont val="宋体"/>
        <charset val="134"/>
      </rPr>
      <t>备注</t>
    </r>
    <r>
      <rPr>
        <b/>
        <sz val="12"/>
        <color theme="1"/>
        <rFont val="Arial"/>
        <charset val="134"/>
      </rPr>
      <t>1</t>
    </r>
    <r>
      <rPr>
        <b/>
        <sz val="12"/>
        <color theme="1"/>
        <rFont val="宋体"/>
        <charset val="134"/>
      </rPr>
      <t>：以上报价不含税，含税</t>
    </r>
    <r>
      <rPr>
        <b/>
        <sz val="12"/>
        <color theme="1"/>
        <rFont val="Arial"/>
        <charset val="134"/>
      </rPr>
      <t>+8</t>
    </r>
    <r>
      <rPr>
        <b/>
        <sz val="12"/>
        <color theme="1"/>
        <rFont val="宋体"/>
        <charset val="134"/>
      </rPr>
      <t>个点。东莞，惠州，深圳包邮。</t>
    </r>
  </si>
  <si>
    <r>
      <rPr>
        <b/>
        <sz val="12"/>
        <color theme="1"/>
        <rFont val="宋体"/>
        <charset val="134"/>
      </rPr>
      <t>本单价不含打样，如需打样双方另行商议，可收取打样费，但在大货时可退回</t>
    </r>
    <r>
      <rPr>
        <b/>
        <sz val="12"/>
        <color theme="1"/>
        <rFont val="Arial"/>
        <charset val="134"/>
      </rPr>
      <t xml:space="preserve">
PS</t>
    </r>
    <r>
      <rPr>
        <b/>
        <sz val="12"/>
        <color theme="1"/>
        <rFont val="宋体"/>
        <charset val="134"/>
      </rPr>
      <t>：数码稿和上机器印刷对比会有色差</t>
    </r>
    <r>
      <rPr>
        <b/>
        <sz val="12"/>
        <color theme="1"/>
        <rFont val="Arial"/>
        <charset val="134"/>
      </rPr>
      <t xml:space="preserve">
</t>
    </r>
    <r>
      <rPr>
        <b/>
        <sz val="12"/>
        <color theme="1"/>
        <rFont val="宋体"/>
        <charset val="134"/>
      </rPr>
      <t>打数码样</t>
    </r>
    <r>
      <rPr>
        <b/>
        <sz val="12"/>
        <color theme="1"/>
        <rFont val="Arial"/>
        <charset val="134"/>
      </rPr>
      <t>1-3</t>
    </r>
    <r>
      <rPr>
        <b/>
        <sz val="12"/>
        <color theme="1"/>
        <rFont val="宋体"/>
        <charset val="134"/>
      </rPr>
      <t>个工作日，打大货样</t>
    </r>
    <r>
      <rPr>
        <b/>
        <sz val="12"/>
        <color theme="1"/>
        <rFont val="Arial"/>
        <charset val="134"/>
      </rPr>
      <t>4-6</t>
    </r>
    <r>
      <rPr>
        <b/>
        <sz val="12"/>
        <color theme="1"/>
        <rFont val="宋体"/>
        <charset val="134"/>
      </rPr>
      <t>天，大货当天</t>
    </r>
    <r>
      <rPr>
        <b/>
        <sz val="12"/>
        <color theme="1"/>
        <rFont val="Arial"/>
        <charset val="134"/>
      </rPr>
      <t>4</t>
    </r>
    <r>
      <rPr>
        <b/>
        <sz val="12"/>
        <color theme="1"/>
        <rFont val="宋体"/>
        <charset val="134"/>
      </rPr>
      <t>点前确认下单并可安排生产起</t>
    </r>
    <r>
      <rPr>
        <b/>
        <sz val="12"/>
        <color theme="1"/>
        <rFont val="Arial"/>
        <charset val="134"/>
      </rPr>
      <t>7-10</t>
    </r>
    <r>
      <rPr>
        <b/>
        <sz val="12"/>
        <color theme="1"/>
        <rFont val="宋体"/>
        <charset val="134"/>
      </rPr>
      <t>个工作日出厂</t>
    </r>
  </si>
  <si>
    <r>
      <rPr>
        <sz val="11"/>
        <color theme="1"/>
        <rFont val="宋体"/>
        <charset val="134"/>
      </rPr>
      <t>含税含运</t>
    </r>
    <r>
      <rPr>
        <sz val="11"/>
        <color theme="1"/>
        <rFont val="Arial"/>
        <charset val="134"/>
      </rPr>
      <t>*1.15</t>
    </r>
  </si>
  <si>
    <t>坑纸</t>
  </si>
  <si>
    <r>
      <rPr>
        <b/>
        <sz val="12"/>
        <color theme="1"/>
        <rFont val="宋体"/>
        <charset val="134"/>
      </rPr>
      <t>光胶</t>
    </r>
  </si>
  <si>
    <t>申小姐</t>
  </si>
  <si>
    <t>贴双面胶</t>
  </si>
  <si>
    <t>Dexas飞机彩盒</t>
  </si>
  <si>
    <t>715 x 952 MM</t>
  </si>
  <si>
    <t>350g白板纸+WE加强芯+4C+1专+过光胶+裱+啤</t>
  </si>
  <si>
    <t>含税，含运</t>
  </si>
  <si>
    <t>54.46x54.42cm</t>
  </si>
  <si>
    <t>Dexas彩卡 贴双面胶</t>
  </si>
  <si>
    <t>175 x 165 MM</t>
  </si>
  <si>
    <t>210g白卡+4C+1专过光胶+贴双面胶+啤</t>
  </si>
  <si>
    <t>纸数量：5千、1万、2.5万、5万</t>
  </si>
  <si>
    <t>展示盒对应数量417、834、2084、4167</t>
  </si>
  <si>
    <r>
      <rPr>
        <sz val="11"/>
        <color theme="1"/>
        <rFont val="宋体"/>
        <charset val="134"/>
      </rPr>
      <t>坑纸</t>
    </r>
    <r>
      <rPr>
        <sz val="11"/>
        <color theme="1"/>
        <rFont val="Arial"/>
        <charset val="134"/>
      </rPr>
      <t>140</t>
    </r>
    <r>
      <rPr>
        <sz val="11"/>
        <color theme="1"/>
        <rFont val="宋体"/>
        <charset val="134"/>
      </rPr>
      <t>克面</t>
    </r>
  </si>
  <si>
    <t>300+W9+110</t>
  </si>
  <si>
    <t>W9+110</t>
  </si>
  <si>
    <t>刘先生</t>
  </si>
  <si>
    <t>哑胶</t>
  </si>
  <si>
    <t>密胺麻将飞机盒</t>
  </si>
  <si>
    <t>266x154.5x73mm</t>
  </si>
  <si>
    <t>300g白卡+WE+120+4C+过哑胶+裱+啤</t>
  </si>
  <si>
    <t>56.6x52cm</t>
  </si>
  <si>
    <t>以下为空白</t>
  </si>
  <si>
    <t>曾小姐</t>
  </si>
  <si>
    <t>挂钩彩盒</t>
  </si>
  <si>
    <t>92x28x92mm</t>
  </si>
  <si>
    <t>300g白卡裱300g白卡+4C+正面过哑胶+裱+啤+贴窗口片+粘 配内卡*1</t>
  </si>
  <si>
    <t>包含配套用内卡</t>
  </si>
  <si>
    <r>
      <rPr>
        <sz val="12"/>
        <color theme="1"/>
        <rFont val="宋体"/>
        <charset val="134"/>
      </rPr>
      <t>胶片</t>
    </r>
    <r>
      <rPr>
        <sz val="12"/>
        <color theme="1"/>
        <rFont val="Arial"/>
        <charset val="0"/>
      </rPr>
      <t>0.2APET10x10cm</t>
    </r>
  </si>
  <si>
    <r>
      <rPr>
        <sz val="12"/>
        <color theme="1"/>
        <rFont val="宋体"/>
        <charset val="134"/>
      </rPr>
      <t>粘盒</t>
    </r>
  </si>
  <si>
    <t>光胶</t>
  </si>
  <si>
    <t>陈先生</t>
  </si>
  <si>
    <t>飞机盒</t>
  </si>
  <si>
    <t>28*24*6cm</t>
  </si>
  <si>
    <t>400g白卡+4C+过光胶+裱+啤</t>
  </si>
  <si>
    <r>
      <rPr>
        <b/>
        <sz val="9"/>
        <rFont val="宋体"/>
        <charset val="134"/>
      </rPr>
      <t>400g白卡+4C+</t>
    </r>
    <r>
      <rPr>
        <b/>
        <sz val="9"/>
        <color rgb="FFFF0000"/>
        <rFont val="宋体"/>
        <charset val="134"/>
      </rPr>
      <t>过光油</t>
    </r>
    <r>
      <rPr>
        <b/>
        <sz val="9"/>
        <rFont val="宋体"/>
        <charset val="134"/>
      </rPr>
      <t>+裱+啤</t>
    </r>
  </si>
  <si>
    <t>250g白卡裱AE+4C+过光胶+裱+啤</t>
  </si>
  <si>
    <r>
      <rPr>
        <b/>
        <sz val="9"/>
        <rFont val="宋体"/>
        <charset val="134"/>
      </rPr>
      <t>250g白卡裱AE+4C+</t>
    </r>
    <r>
      <rPr>
        <b/>
        <sz val="9"/>
        <color rgb="FFFF0000"/>
        <rFont val="宋体"/>
        <charset val="134"/>
      </rPr>
      <t>过光油</t>
    </r>
    <r>
      <rPr>
        <b/>
        <sz val="9"/>
        <rFont val="宋体"/>
        <charset val="134"/>
      </rPr>
      <t>+裱+啤</t>
    </r>
  </si>
  <si>
    <r>
      <rPr>
        <sz val="12"/>
        <color theme="1"/>
        <rFont val="宋体"/>
        <charset val="134"/>
      </rPr>
      <t>坑纸</t>
    </r>
  </si>
  <si>
    <t>300g白卡裱300g白卡+4C+正面过哑胶+裱+啤+粘 配内卡*1</t>
  </si>
  <si>
    <t>包含配套用内卡，无窗口</t>
  </si>
  <si>
    <t>内彩盒</t>
  </si>
  <si>
    <t>10*10*23CM</t>
  </si>
  <si>
    <t>300g白板纸裱A9加强芯+4C印刷+过哑膜+裱+啤+粘盒</t>
  </si>
  <si>
    <t>大外箱</t>
  </si>
  <si>
    <t>44x24.5x22.5cm</t>
  </si>
  <si>
    <t>K636K,空白箱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</si>
</sst>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5" formatCode="&quot;￥&quot;#,##0;&quot;￥&quot;\-#,##0"/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yyyy&quot;年&quot;m&quot;月&quot;d&quot;日&quot;;@"/>
    <numFmt numFmtId="179" formatCode="&quot;￥&quot;#,##0.000;&quot;￥&quot;\-#,##0.000"/>
  </numFmts>
  <fonts count="63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2"/>
      <color theme="1"/>
      <name val="Arial"/>
      <charset val="134"/>
    </font>
    <font>
      <b/>
      <sz val="24"/>
      <color theme="1"/>
      <name val="Arial"/>
      <charset val="134"/>
    </font>
    <font>
      <b/>
      <sz val="18"/>
      <color theme="1"/>
      <name val="Arial"/>
      <charset val="134"/>
    </font>
    <font>
      <sz val="11"/>
      <color theme="1"/>
      <name val="宋体"/>
      <charset val="134"/>
    </font>
    <font>
      <b/>
      <sz val="11"/>
      <color theme="1"/>
      <name val="Arial"/>
      <charset val="134"/>
    </font>
    <font>
      <b/>
      <sz val="8"/>
      <color theme="1"/>
      <name val="Arial"/>
      <charset val="134"/>
    </font>
    <font>
      <sz val="11"/>
      <color theme="1"/>
      <name val="Arial"/>
      <charset val="0"/>
    </font>
    <font>
      <sz val="12"/>
      <color theme="1"/>
      <name val="Arial"/>
      <charset val="0"/>
    </font>
    <font>
      <b/>
      <sz val="14"/>
      <color theme="1"/>
      <name val="Arial"/>
      <charset val="134"/>
    </font>
    <font>
      <sz val="11"/>
      <color rgb="FF111111"/>
      <name val="宋体"/>
      <charset val="134"/>
    </font>
    <font>
      <sz val="9"/>
      <color theme="1"/>
      <name val="Arial"/>
      <charset val="134"/>
    </font>
    <font>
      <b/>
      <sz val="12"/>
      <color theme="1"/>
      <name val="宋体"/>
      <charset val="0"/>
    </font>
    <font>
      <b/>
      <sz val="12"/>
      <color theme="1"/>
      <name val="Arial"/>
      <charset val="0"/>
    </font>
    <font>
      <b/>
      <sz val="11"/>
      <name val="Arial"/>
      <charset val="134"/>
    </font>
    <font>
      <sz val="10"/>
      <color rgb="FF000000"/>
      <name val="宋体"/>
      <charset val="0"/>
    </font>
    <font>
      <sz val="10"/>
      <color indexed="8"/>
      <name val="arial"/>
      <charset val="0"/>
    </font>
    <font>
      <b/>
      <sz val="9"/>
      <name val="宋体"/>
      <charset val="134"/>
    </font>
    <font>
      <b/>
      <sz val="11"/>
      <name val="Arial"/>
      <charset val="0"/>
    </font>
    <font>
      <b/>
      <sz val="11"/>
      <color theme="1"/>
      <name val="宋体"/>
      <charset val="134"/>
    </font>
    <font>
      <b/>
      <sz val="10"/>
      <color theme="1"/>
      <name val="Arial"/>
      <charset val="134"/>
    </font>
    <font>
      <sz val="12"/>
      <color theme="1"/>
      <name val="Arial"/>
      <charset val="134"/>
    </font>
    <font>
      <sz val="10.5"/>
      <color rgb="FF111111"/>
      <name val="宋体"/>
      <charset val="134"/>
    </font>
    <font>
      <sz val="10.5"/>
      <color rgb="FF111111"/>
      <name val="Arial"/>
      <charset val="134"/>
    </font>
    <font>
      <b/>
      <sz val="11"/>
      <color theme="1"/>
      <name val="Arial"/>
      <charset val="0"/>
    </font>
    <font>
      <b/>
      <sz val="11"/>
      <color theme="1"/>
      <name val="宋体"/>
      <charset val="0"/>
    </font>
    <font>
      <b/>
      <sz val="11"/>
      <color rgb="FFFF0000"/>
      <name val="Arial"/>
      <charset val="0"/>
    </font>
    <font>
      <b/>
      <sz val="12"/>
      <color theme="1"/>
      <name val="宋体"/>
      <charset val="134"/>
    </font>
    <font>
      <sz val="12"/>
      <color theme="1"/>
      <name val="Arial"/>
      <charset val="0"/>
    </font>
    <font>
      <sz val="12"/>
      <color theme="1"/>
      <name val="宋体"/>
      <charset val="0"/>
    </font>
    <font>
      <sz val="11"/>
      <color rgb="FF111111"/>
      <name val="Arial"/>
      <charset val="134"/>
    </font>
    <font>
      <b/>
      <sz val="9"/>
      <name val="Arial"/>
      <charset val="134"/>
    </font>
    <font>
      <sz val="11"/>
      <color theme="1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24"/>
      <color theme="1"/>
      <name val="宋体"/>
      <charset val="134"/>
    </font>
    <font>
      <b/>
      <sz val="9"/>
      <color rgb="FFFF0000"/>
      <name val="宋体"/>
      <charset val="134"/>
    </font>
    <font>
      <b/>
      <sz val="11"/>
      <name val="宋体"/>
      <charset val="134"/>
    </font>
    <font>
      <sz val="12"/>
      <color theme="1"/>
      <name val="宋体"/>
      <charset val="134"/>
    </font>
    <font>
      <b/>
      <sz val="8"/>
      <color theme="1"/>
      <name val="宋体"/>
      <charset val="134"/>
    </font>
    <font>
      <b/>
      <sz val="8"/>
      <color indexed="8"/>
      <name val="Arial"/>
      <charset val="0"/>
    </font>
    <font>
      <b/>
      <sz val="14"/>
      <color theme="1"/>
      <name val="宋体"/>
      <charset val="134"/>
    </font>
    <font>
      <b/>
      <sz val="18"/>
      <color theme="1"/>
      <name val="宋体"/>
      <charset val="134"/>
    </font>
    <font>
      <b/>
      <sz val="10"/>
      <color theme="1"/>
      <name val="宋体"/>
      <charset val="134"/>
    </font>
    <font>
      <sz val="9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40" fillId="0" borderId="5" applyNumberFormat="0" applyFill="0" applyAlignment="0" applyProtection="0">
      <alignment vertical="center"/>
    </xf>
    <xf numFmtId="0" fontId="41" fillId="0" borderId="6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4" borderId="7" applyNumberFormat="0" applyAlignment="0" applyProtection="0">
      <alignment vertical="center"/>
    </xf>
    <xf numFmtId="0" fontId="43" fillId="5" borderId="8" applyNumberFormat="0" applyAlignment="0" applyProtection="0">
      <alignment vertical="center"/>
    </xf>
    <xf numFmtId="0" fontId="44" fillId="5" borderId="7" applyNumberFormat="0" applyAlignment="0" applyProtection="0">
      <alignment vertical="center"/>
    </xf>
    <xf numFmtId="0" fontId="45" fillId="6" borderId="9" applyNumberFormat="0" applyAlignment="0" applyProtection="0">
      <alignment vertical="center"/>
    </xf>
    <xf numFmtId="0" fontId="46" fillId="0" borderId="10" applyNumberFormat="0" applyFill="0" applyAlignment="0" applyProtection="0">
      <alignment vertical="center"/>
    </xf>
    <xf numFmtId="0" fontId="47" fillId="0" borderId="11" applyNumberFormat="0" applyFill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</cellStyleXfs>
  <cellXfs count="11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right" vertical="center"/>
    </xf>
    <xf numFmtId="0" fontId="5" fillId="0" borderId="0" xfId="0" applyFont="1" applyFill="1" applyAlignment="1">
      <alignment horizontal="center" vertical="center" wrapText="1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177" fontId="8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vertical="center"/>
    </xf>
    <xf numFmtId="0" fontId="11" fillId="0" borderId="0" xfId="0" applyFont="1" applyFill="1" applyAlignment="1">
      <alignment vertical="center"/>
    </xf>
    <xf numFmtId="0" fontId="10" fillId="0" borderId="0" xfId="0" applyFont="1" applyFill="1" applyBorder="1" applyAlignment="1">
      <alignment vertical="center" wrapText="1"/>
    </xf>
    <xf numFmtId="178" fontId="10" fillId="0" borderId="0" xfId="0" applyNumberFormat="1" applyFont="1" applyFill="1" applyBorder="1" applyAlignment="1">
      <alignment vertical="center" shrinkToFit="1"/>
    </xf>
    <xf numFmtId="0" fontId="12" fillId="0" borderId="0" xfId="0" applyFont="1" applyFill="1" applyAlignment="1">
      <alignment horizontal="left" vertical="center" wrapText="1"/>
    </xf>
    <xf numFmtId="0" fontId="13" fillId="0" borderId="1" xfId="0" applyFont="1" applyFill="1" applyBorder="1" applyAlignment="1">
      <alignment vertical="center"/>
    </xf>
    <xf numFmtId="0" fontId="14" fillId="0" borderId="1" xfId="0" applyFont="1" applyFill="1" applyBorder="1" applyAlignment="1">
      <alignment vertical="center"/>
    </xf>
    <xf numFmtId="176" fontId="14" fillId="0" borderId="1" xfId="0" applyNumberFormat="1" applyFont="1" applyFill="1" applyBorder="1" applyAlignment="1">
      <alignment horizontal="center" vertical="center"/>
    </xf>
    <xf numFmtId="177" fontId="9" fillId="0" borderId="1" xfId="0" applyNumberFormat="1" applyFont="1" applyFill="1" applyBorder="1" applyAlignment="1">
      <alignment horizontal="center" vertical="center"/>
    </xf>
    <xf numFmtId="0" fontId="15" fillId="0" borderId="1" xfId="0" applyNumberFormat="1" applyFont="1" applyFill="1" applyBorder="1" applyAlignment="1">
      <alignment horizontal="center" vertical="center"/>
    </xf>
    <xf numFmtId="0" fontId="15" fillId="0" borderId="1" xfId="0" applyNumberFormat="1" applyFont="1" applyFill="1" applyBorder="1" applyAlignment="1">
      <alignment horizontal="center" vertical="center" wrapText="1"/>
    </xf>
    <xf numFmtId="0" fontId="15" fillId="0" borderId="0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vertical="center"/>
    </xf>
    <xf numFmtId="0" fontId="17" fillId="0" borderId="1" xfId="0" applyFont="1" applyFill="1" applyBorder="1" applyAlignment="1">
      <alignment vertical="center"/>
    </xf>
    <xf numFmtId="0" fontId="18" fillId="0" borderId="1" xfId="0" applyFont="1" applyFill="1" applyBorder="1" applyAlignment="1">
      <alignment horizontal="left" vertical="center" wrapText="1"/>
    </xf>
    <xf numFmtId="179" fontId="19" fillId="0" borderId="1" xfId="0" applyNumberFormat="1" applyFont="1" applyFill="1" applyBorder="1" applyAlignment="1">
      <alignment horizontal="center" vertical="center" wrapText="1"/>
    </xf>
    <xf numFmtId="7" fontId="6" fillId="0" borderId="1" xfId="0" applyNumberFormat="1" applyFont="1" applyFill="1" applyBorder="1" applyAlignment="1">
      <alignment horizontal="center" vertical="center" shrinkToFit="1"/>
    </xf>
    <xf numFmtId="0" fontId="20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1" fillId="0" borderId="0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/>
    </xf>
    <xf numFmtId="176" fontId="9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vertical="center"/>
    </xf>
    <xf numFmtId="179" fontId="19" fillId="0" borderId="0" xfId="0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vertical="center"/>
    </xf>
    <xf numFmtId="0" fontId="20" fillId="0" borderId="1" xfId="0" applyNumberFormat="1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vertical="center"/>
    </xf>
    <xf numFmtId="0" fontId="21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/>
    </xf>
    <xf numFmtId="176" fontId="25" fillId="0" borderId="1" xfId="0" applyNumberFormat="1" applyFont="1" applyFill="1" applyBorder="1" applyAlignment="1">
      <alignment horizontal="center" vertical="center"/>
    </xf>
    <xf numFmtId="177" fontId="25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vertical="center"/>
    </xf>
    <xf numFmtId="0" fontId="26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27" fillId="0" borderId="1" xfId="0" applyFont="1" applyFill="1" applyBorder="1" applyAlignment="1">
      <alignment horizontal="center" vertical="center"/>
    </xf>
    <xf numFmtId="0" fontId="28" fillId="0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179" fontId="19" fillId="0" borderId="0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29" fillId="0" borderId="1" xfId="0" applyFont="1" applyFill="1" applyBorder="1" applyAlignment="1">
      <alignment vertical="center"/>
    </xf>
    <xf numFmtId="0" fontId="29" fillId="0" borderId="1" xfId="0" applyFont="1" applyFill="1" applyBorder="1" applyAlignment="1">
      <alignment horizontal="center" vertical="center"/>
    </xf>
    <xf numFmtId="176" fontId="29" fillId="0" borderId="1" xfId="0" applyNumberFormat="1" applyFont="1" applyFill="1" applyBorder="1" applyAlignment="1">
      <alignment horizontal="center" vertical="center"/>
    </xf>
    <xf numFmtId="177" fontId="29" fillId="0" borderId="1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/>
    </xf>
    <xf numFmtId="176" fontId="8" fillId="0" borderId="0" xfId="0" applyNumberFormat="1" applyFont="1" applyFill="1" applyBorder="1" applyAlignment="1">
      <alignment horizontal="center" vertical="center"/>
    </xf>
    <xf numFmtId="177" fontId="8" fillId="0" borderId="0" xfId="0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vertical="center"/>
    </xf>
    <xf numFmtId="0" fontId="14" fillId="0" borderId="0" xfId="0" applyFont="1" applyFill="1" applyBorder="1" applyAlignment="1">
      <alignment vertical="center"/>
    </xf>
    <xf numFmtId="176" fontId="14" fillId="0" borderId="0" xfId="0" applyNumberFormat="1" applyFont="1" applyFill="1" applyBorder="1" applyAlignment="1">
      <alignment horizontal="center" vertical="center"/>
    </xf>
    <xf numFmtId="177" fontId="9" fillId="0" borderId="0" xfId="0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22" fillId="0" borderId="0" xfId="0" applyFont="1" applyFill="1" applyBorder="1" applyAlignment="1">
      <alignment vertical="center"/>
    </xf>
    <xf numFmtId="0" fontId="22" fillId="0" borderId="0" xfId="0" applyFont="1" applyFill="1" applyBorder="1" applyAlignment="1">
      <alignment horizontal="center" vertical="center"/>
    </xf>
    <xf numFmtId="176" fontId="9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center"/>
    </xf>
    <xf numFmtId="0" fontId="25" fillId="0" borderId="0" xfId="0" applyFont="1" applyFill="1" applyBorder="1" applyAlignment="1">
      <alignment horizontal="center" vertical="center"/>
    </xf>
    <xf numFmtId="176" fontId="25" fillId="0" borderId="0" xfId="0" applyNumberFormat="1" applyFont="1" applyFill="1" applyBorder="1" applyAlignment="1">
      <alignment horizontal="center" vertical="center"/>
    </xf>
    <xf numFmtId="177" fontId="25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vertical="center"/>
    </xf>
    <xf numFmtId="0" fontId="26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27" fillId="0" borderId="0" xfId="0" applyFont="1" applyFill="1" applyBorder="1" applyAlignment="1">
      <alignment horizontal="center" vertical="center"/>
    </xf>
    <xf numFmtId="5" fontId="6" fillId="0" borderId="1" xfId="0" applyNumberFormat="1" applyFont="1" applyFill="1" applyBorder="1" applyAlignment="1">
      <alignment horizontal="center" vertical="center" wrapText="1"/>
    </xf>
    <xf numFmtId="0" fontId="30" fillId="0" borderId="0" xfId="0" applyFont="1" applyFill="1" applyBorder="1" applyAlignment="1">
      <alignment vertical="center"/>
    </xf>
    <xf numFmtId="0" fontId="22" fillId="0" borderId="1" xfId="0" applyFont="1" applyFill="1" applyBorder="1" applyAlignment="1">
      <alignment horizontal="center" vertical="center"/>
    </xf>
    <xf numFmtId="0" fontId="30" fillId="0" borderId="1" xfId="0" applyFont="1" applyFill="1" applyBorder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31" fillId="0" borderId="0" xfId="0" applyFont="1" applyFill="1" applyAlignment="1">
      <alignment vertical="center"/>
    </xf>
    <xf numFmtId="0" fontId="32" fillId="0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vertical="center"/>
    </xf>
    <xf numFmtId="179" fontId="19" fillId="0" borderId="3" xfId="0" applyNumberFormat="1" applyFont="1" applyFill="1" applyBorder="1" applyAlignment="1">
      <alignment horizontal="center" vertical="center" wrapText="1"/>
    </xf>
    <xf numFmtId="5" fontId="6" fillId="0" borderId="3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179" fontId="19" fillId="0" borderId="2" xfId="0" applyNumberFormat="1" applyFont="1" applyFill="1" applyBorder="1" applyAlignment="1">
      <alignment horizontal="center" vertical="center" wrapText="1"/>
    </xf>
    <xf numFmtId="5" fontId="6" fillId="0" borderId="2" xfId="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vertical="center"/>
    </xf>
    <xf numFmtId="0" fontId="33" fillId="0" borderId="1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0" fontId="25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609600</xdr:colOff>
      <xdr:row>0</xdr:row>
      <xdr:rowOff>635</xdr:rowOff>
    </xdr:from>
    <xdr:to>
      <xdr:col>6</xdr:col>
      <xdr:colOff>614045</xdr:colOff>
      <xdr:row>2</xdr:row>
      <xdr:rowOff>423545</xdr:rowOff>
    </xdr:to>
    <xdr:pic>
      <xdr:nvPicPr>
        <xdr:cNvPr id="2" name="图片 5"/>
        <xdr:cNvPicPr/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748530" y="635"/>
          <a:ext cx="1504950" cy="1464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609600</xdr:colOff>
      <xdr:row>0</xdr:row>
      <xdr:rowOff>635</xdr:rowOff>
    </xdr:from>
    <xdr:to>
      <xdr:col>6</xdr:col>
      <xdr:colOff>614045</xdr:colOff>
      <xdr:row>2</xdr:row>
      <xdr:rowOff>423545</xdr:rowOff>
    </xdr:to>
    <xdr:pic>
      <xdr:nvPicPr>
        <xdr:cNvPr id="3" name="图片 5"/>
        <xdr:cNvPicPr/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748530" y="635"/>
          <a:ext cx="1504950" cy="14643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609600</xdr:colOff>
      <xdr:row>0</xdr:row>
      <xdr:rowOff>635</xdr:rowOff>
    </xdr:from>
    <xdr:to>
      <xdr:col>6</xdr:col>
      <xdr:colOff>614045</xdr:colOff>
      <xdr:row>2</xdr:row>
      <xdr:rowOff>423545</xdr:rowOff>
    </xdr:to>
    <xdr:pic>
      <xdr:nvPicPr>
        <xdr:cNvPr id="2" name="图片 5"/>
        <xdr:cNvPicPr/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748530" y="635"/>
          <a:ext cx="1504950" cy="1464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609600</xdr:colOff>
      <xdr:row>0</xdr:row>
      <xdr:rowOff>635</xdr:rowOff>
    </xdr:from>
    <xdr:to>
      <xdr:col>6</xdr:col>
      <xdr:colOff>614045</xdr:colOff>
      <xdr:row>2</xdr:row>
      <xdr:rowOff>423545</xdr:rowOff>
    </xdr:to>
    <xdr:pic>
      <xdr:nvPicPr>
        <xdr:cNvPr id="3" name="图片 5"/>
        <xdr:cNvPicPr/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748530" y="635"/>
          <a:ext cx="1504950" cy="14643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609600</xdr:colOff>
      <xdr:row>0</xdr:row>
      <xdr:rowOff>635</xdr:rowOff>
    </xdr:from>
    <xdr:to>
      <xdr:col>6</xdr:col>
      <xdr:colOff>614045</xdr:colOff>
      <xdr:row>2</xdr:row>
      <xdr:rowOff>423545</xdr:rowOff>
    </xdr:to>
    <xdr:pic>
      <xdr:nvPicPr>
        <xdr:cNvPr id="2" name="图片 5"/>
        <xdr:cNvPicPr/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748530" y="635"/>
          <a:ext cx="1504950" cy="1464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609600</xdr:colOff>
      <xdr:row>0</xdr:row>
      <xdr:rowOff>635</xdr:rowOff>
    </xdr:from>
    <xdr:to>
      <xdr:col>6</xdr:col>
      <xdr:colOff>614045</xdr:colOff>
      <xdr:row>2</xdr:row>
      <xdr:rowOff>423545</xdr:rowOff>
    </xdr:to>
    <xdr:pic>
      <xdr:nvPicPr>
        <xdr:cNvPr id="3" name="图片 5"/>
        <xdr:cNvPicPr/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748530" y="635"/>
          <a:ext cx="1504950" cy="14643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609600</xdr:colOff>
      <xdr:row>0</xdr:row>
      <xdr:rowOff>635</xdr:rowOff>
    </xdr:from>
    <xdr:to>
      <xdr:col>6</xdr:col>
      <xdr:colOff>614045</xdr:colOff>
      <xdr:row>2</xdr:row>
      <xdr:rowOff>423545</xdr:rowOff>
    </xdr:to>
    <xdr:pic>
      <xdr:nvPicPr>
        <xdr:cNvPr id="2" name="图片 5"/>
        <xdr:cNvPicPr/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748530" y="635"/>
          <a:ext cx="1504950" cy="1464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609600</xdr:colOff>
      <xdr:row>0</xdr:row>
      <xdr:rowOff>635</xdr:rowOff>
    </xdr:from>
    <xdr:to>
      <xdr:col>6</xdr:col>
      <xdr:colOff>614045</xdr:colOff>
      <xdr:row>2</xdr:row>
      <xdr:rowOff>423545</xdr:rowOff>
    </xdr:to>
    <xdr:pic>
      <xdr:nvPicPr>
        <xdr:cNvPr id="3" name="图片 5"/>
        <xdr:cNvPicPr/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748530" y="635"/>
          <a:ext cx="1504950" cy="14643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609600</xdr:colOff>
      <xdr:row>0</xdr:row>
      <xdr:rowOff>635</xdr:rowOff>
    </xdr:from>
    <xdr:to>
      <xdr:col>6</xdr:col>
      <xdr:colOff>614045</xdr:colOff>
      <xdr:row>2</xdr:row>
      <xdr:rowOff>423545</xdr:rowOff>
    </xdr:to>
    <xdr:pic>
      <xdr:nvPicPr>
        <xdr:cNvPr id="2" name="图片 5"/>
        <xdr:cNvPicPr/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748530" y="635"/>
          <a:ext cx="1504950" cy="1464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609600</xdr:colOff>
      <xdr:row>0</xdr:row>
      <xdr:rowOff>635</xdr:rowOff>
    </xdr:from>
    <xdr:to>
      <xdr:col>6</xdr:col>
      <xdr:colOff>614045</xdr:colOff>
      <xdr:row>2</xdr:row>
      <xdr:rowOff>423545</xdr:rowOff>
    </xdr:to>
    <xdr:pic>
      <xdr:nvPicPr>
        <xdr:cNvPr id="3" name="图片 5"/>
        <xdr:cNvPicPr/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748530" y="635"/>
          <a:ext cx="1504950" cy="14643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609600</xdr:colOff>
      <xdr:row>0</xdr:row>
      <xdr:rowOff>635</xdr:rowOff>
    </xdr:from>
    <xdr:to>
      <xdr:col>6</xdr:col>
      <xdr:colOff>614045</xdr:colOff>
      <xdr:row>2</xdr:row>
      <xdr:rowOff>423545</xdr:rowOff>
    </xdr:to>
    <xdr:pic>
      <xdr:nvPicPr>
        <xdr:cNvPr id="2" name="图片 5"/>
        <xdr:cNvPicPr/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748530" y="635"/>
          <a:ext cx="1504950" cy="1464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609600</xdr:colOff>
      <xdr:row>0</xdr:row>
      <xdr:rowOff>635</xdr:rowOff>
    </xdr:from>
    <xdr:to>
      <xdr:col>6</xdr:col>
      <xdr:colOff>614045</xdr:colOff>
      <xdr:row>2</xdr:row>
      <xdr:rowOff>423545</xdr:rowOff>
    </xdr:to>
    <xdr:pic>
      <xdr:nvPicPr>
        <xdr:cNvPr id="3" name="图片 5"/>
        <xdr:cNvPicPr/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748530" y="635"/>
          <a:ext cx="1504950" cy="14643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3"/>
  <sheetViews>
    <sheetView workbookViewId="0">
      <selection activeCell="E12" sqref="E12"/>
    </sheetView>
  </sheetViews>
  <sheetFormatPr defaultColWidth="9" defaultRowHeight="41" customHeight="1"/>
  <cols>
    <col min="1" max="1" width="12.625" style="1" customWidth="1"/>
    <col min="2" max="2" width="14.35" style="1" customWidth="1"/>
    <col min="3" max="3" width="19.25" style="1" customWidth="1"/>
    <col min="4" max="4" width="8.09166666666667" style="1" customWidth="1"/>
    <col min="5" max="5" width="9.25833333333333" style="1" customWidth="1"/>
    <col min="6" max="6" width="10.4333333333333" style="1" customWidth="1"/>
    <col min="7" max="7" width="12.875" style="1" customWidth="1"/>
    <col min="8" max="8" width="6.4" style="3" customWidth="1"/>
    <col min="9" max="9" width="8.75" style="3" customWidth="1"/>
    <col min="10" max="10" width="14.375" style="4" customWidth="1"/>
    <col min="11" max="11" width="9.5" style="4" customWidth="1"/>
    <col min="12" max="12" width="9" style="5"/>
    <col min="13" max="13" width="14.125" style="5"/>
    <col min="14" max="15" width="9" style="5"/>
    <col min="16" max="16" width="10.375" style="5" customWidth="1"/>
    <col min="17" max="17" width="8.75" style="5" customWidth="1"/>
    <col min="18" max="19" width="9" style="5"/>
    <col min="20" max="20" width="4.125" style="1" customWidth="1"/>
    <col min="21" max="21" width="14.375" style="4" customWidth="1"/>
    <col min="22" max="22" width="9.5" style="4" customWidth="1"/>
    <col min="23" max="23" width="9" style="5"/>
    <col min="24" max="24" width="14.125" style="5"/>
    <col min="25" max="26" width="9" style="5"/>
    <col min="27" max="27" width="10.375" style="5" customWidth="1"/>
    <col min="28" max="28" width="8.75" style="5" customWidth="1"/>
    <col min="29" max="30" width="9" style="5"/>
    <col min="31" max="16384" width="9" style="1"/>
  </cols>
  <sheetData>
    <row r="1" s="1" customFormat="1" customHeight="1" spans="1:30">
      <c r="A1" s="6" t="s">
        <v>0</v>
      </c>
      <c r="B1" s="6"/>
      <c r="C1" s="6"/>
      <c r="D1" s="6"/>
      <c r="E1" s="6"/>
      <c r="F1" s="6"/>
      <c r="G1" s="7" t="s">
        <v>1</v>
      </c>
      <c r="H1" s="3"/>
      <c r="I1" s="97"/>
      <c r="J1" s="9" t="s">
        <v>2</v>
      </c>
      <c r="K1" s="9" t="s">
        <v>3</v>
      </c>
      <c r="L1" s="10" t="s">
        <v>4</v>
      </c>
      <c r="M1" s="10" t="s">
        <v>5</v>
      </c>
      <c r="N1" s="10" t="s">
        <v>6</v>
      </c>
      <c r="O1" s="10" t="s">
        <v>7</v>
      </c>
      <c r="P1" s="11" t="s">
        <v>8</v>
      </c>
      <c r="Q1" s="10" t="s">
        <v>9</v>
      </c>
      <c r="R1" s="10" t="s">
        <v>10</v>
      </c>
      <c r="S1" s="10" t="s">
        <v>11</v>
      </c>
      <c r="U1" s="9" t="s">
        <v>2</v>
      </c>
      <c r="V1" s="9" t="s">
        <v>3</v>
      </c>
      <c r="W1" s="10" t="s">
        <v>4</v>
      </c>
      <c r="X1" s="10" t="s">
        <v>5</v>
      </c>
      <c r="Y1" s="10" t="s">
        <v>6</v>
      </c>
      <c r="Z1" s="10" t="s">
        <v>7</v>
      </c>
      <c r="AA1" s="11" t="s">
        <v>8</v>
      </c>
      <c r="AB1" s="10" t="s">
        <v>9</v>
      </c>
      <c r="AC1" s="10" t="s">
        <v>10</v>
      </c>
      <c r="AD1" s="10" t="s">
        <v>11</v>
      </c>
    </row>
    <row r="2" s="1" customFormat="1" customHeight="1" spans="1:30">
      <c r="A2" s="12" t="s">
        <v>12</v>
      </c>
      <c r="B2" s="12"/>
      <c r="C2" s="12"/>
      <c r="D2" s="12"/>
      <c r="E2" s="12"/>
      <c r="F2" s="12"/>
      <c r="G2" s="12"/>
      <c r="H2" s="3"/>
      <c r="I2" s="3"/>
      <c r="J2" s="14" t="s">
        <v>13</v>
      </c>
      <c r="K2" s="14"/>
      <c r="L2" s="15">
        <v>350</v>
      </c>
      <c r="M2" s="15">
        <v>71.1</v>
      </c>
      <c r="N2" s="15">
        <v>120</v>
      </c>
      <c r="O2" s="15">
        <v>3800</v>
      </c>
      <c r="P2" s="15">
        <f>1005+200</f>
        <v>1205</v>
      </c>
      <c r="Q2" s="16">
        <f>L2*M2*N2*O2*P2/10000000000</f>
        <v>1367.38098</v>
      </c>
      <c r="R2" s="17">
        <f t="shared" ref="R2:R9" si="0">Q2/S2</f>
        <v>1.36057808955224</v>
      </c>
      <c r="S2" s="18">
        <v>1005</v>
      </c>
      <c r="U2" s="14" t="s">
        <v>13</v>
      </c>
      <c r="V2" s="14"/>
      <c r="W2" s="15">
        <v>350</v>
      </c>
      <c r="X2" s="15">
        <v>50</v>
      </c>
      <c r="Y2" s="15">
        <v>43</v>
      </c>
      <c r="Z2" s="15">
        <v>3800</v>
      </c>
      <c r="AA2" s="15">
        <f>6100/2+80</f>
        <v>3130</v>
      </c>
      <c r="AB2" s="16">
        <f>W2*X2*Y2*Z2*AA2/10000000000</f>
        <v>895.0235</v>
      </c>
      <c r="AC2" s="17">
        <f>AB2/AD2</f>
        <v>0.146725163934426</v>
      </c>
      <c r="AD2" s="18">
        <v>6100</v>
      </c>
    </row>
    <row r="3" s="1" customFormat="1" customHeight="1" spans="1:30">
      <c r="A3" s="19" t="s">
        <v>14</v>
      </c>
      <c r="B3" s="19"/>
      <c r="C3" s="19"/>
      <c r="D3" s="19"/>
      <c r="E3" s="19"/>
      <c r="F3" s="19"/>
      <c r="G3" s="19"/>
      <c r="H3" s="3"/>
      <c r="I3" s="3" t="s">
        <v>15</v>
      </c>
      <c r="J3" s="40" t="s">
        <v>16</v>
      </c>
      <c r="K3" s="40" t="s">
        <v>17</v>
      </c>
      <c r="L3" s="18">
        <v>1</v>
      </c>
      <c r="M3" s="15">
        <v>71.1</v>
      </c>
      <c r="N3" s="15">
        <v>120</v>
      </c>
      <c r="O3" s="18">
        <v>0.67</v>
      </c>
      <c r="P3" s="15">
        <f t="shared" ref="P3:P9" si="1">1005+200</f>
        <v>1205</v>
      </c>
      <c r="Q3" s="41">
        <f>L3*M3/2.54*N3/2.54*O3*P3/1000</f>
        <v>1067.69021638043</v>
      </c>
      <c r="R3" s="28">
        <f t="shared" si="0"/>
        <v>1.06237832475665</v>
      </c>
      <c r="S3" s="18">
        <v>1005</v>
      </c>
      <c r="U3" s="98" t="s">
        <v>18</v>
      </c>
      <c r="V3" s="26"/>
      <c r="W3" s="18">
        <v>1</v>
      </c>
      <c r="X3" s="15">
        <v>50</v>
      </c>
      <c r="Y3" s="15">
        <v>43</v>
      </c>
      <c r="Z3" s="18">
        <v>0.0465</v>
      </c>
      <c r="AA3" s="15">
        <f>6100/2+80</f>
        <v>3130</v>
      </c>
      <c r="AB3" s="27">
        <f>W3*X3*Y3*Z3*AA3/1000</f>
        <v>312.92175</v>
      </c>
      <c r="AC3" s="28">
        <f>AB3/AD3</f>
        <v>0.0512986475409836</v>
      </c>
      <c r="AD3" s="18">
        <v>6100</v>
      </c>
    </row>
    <row r="4" s="1" customFormat="1" customHeight="1" spans="1:30">
      <c r="A4" s="20" t="s">
        <v>19</v>
      </c>
      <c r="B4" s="99" t="s">
        <v>20</v>
      </c>
      <c r="C4" s="20"/>
      <c r="D4" s="20"/>
      <c r="E4" s="20" t="s">
        <v>21</v>
      </c>
      <c r="F4" s="22"/>
      <c r="G4" s="23">
        <v>46113</v>
      </c>
      <c r="I4" s="24"/>
      <c r="J4" s="98" t="s">
        <v>18</v>
      </c>
      <c r="K4" s="26"/>
      <c r="L4" s="18">
        <v>1</v>
      </c>
      <c r="M4" s="15">
        <v>71.1</v>
      </c>
      <c r="N4" s="15">
        <v>120</v>
      </c>
      <c r="O4" s="18">
        <v>0.0465</v>
      </c>
      <c r="P4" s="15">
        <f t="shared" si="1"/>
        <v>1205</v>
      </c>
      <c r="Q4" s="27">
        <f>L4*M4*N4*O4*P4/1000</f>
        <v>478.06929</v>
      </c>
      <c r="R4" s="28">
        <f t="shared" si="0"/>
        <v>0.475690835820895</v>
      </c>
      <c r="S4" s="18">
        <v>1005</v>
      </c>
      <c r="U4" s="43" t="s">
        <v>22</v>
      </c>
      <c r="V4" s="40"/>
      <c r="W4" s="18"/>
      <c r="X4" s="18"/>
      <c r="Y4" s="18"/>
      <c r="Z4" s="18"/>
      <c r="AA4" s="15">
        <f>6100/2+80</f>
        <v>3130</v>
      </c>
      <c r="AB4" s="41">
        <v>200</v>
      </c>
      <c r="AC4" s="28">
        <f>AB4/AD4</f>
        <v>0.0327868852459016</v>
      </c>
      <c r="AD4" s="18">
        <v>6100</v>
      </c>
    </row>
    <row r="5" s="1" customFormat="1" customHeight="1" spans="1:30">
      <c r="A5" s="29" t="s">
        <v>23</v>
      </c>
      <c r="B5" s="29" t="s">
        <v>24</v>
      </c>
      <c r="C5" s="30" t="s">
        <v>25</v>
      </c>
      <c r="D5" s="30" t="s">
        <v>26</v>
      </c>
      <c r="E5" s="30" t="s">
        <v>27</v>
      </c>
      <c r="F5" s="30" t="s">
        <v>28</v>
      </c>
      <c r="G5" s="29" t="s">
        <v>29</v>
      </c>
      <c r="I5" s="31" t="s">
        <v>30</v>
      </c>
      <c r="J5" s="98" t="s">
        <v>31</v>
      </c>
      <c r="K5" s="26"/>
      <c r="L5" s="18">
        <v>1</v>
      </c>
      <c r="M5" s="15">
        <v>71.1</v>
      </c>
      <c r="N5" s="15">
        <v>120</v>
      </c>
      <c r="O5" s="18">
        <v>0.028</v>
      </c>
      <c r="P5" s="15">
        <f t="shared" si="1"/>
        <v>1205</v>
      </c>
      <c r="Q5" s="27">
        <f>L5*M5*N5*O5*P5/1000</f>
        <v>287.86968</v>
      </c>
      <c r="R5" s="28">
        <f t="shared" si="0"/>
        <v>0.286437492537313</v>
      </c>
      <c r="S5" s="18">
        <v>1005</v>
      </c>
      <c r="U5" s="14" t="s">
        <v>32</v>
      </c>
      <c r="V5" s="47" t="s">
        <v>33</v>
      </c>
      <c r="W5" s="15" t="s">
        <v>34</v>
      </c>
      <c r="X5" s="15"/>
      <c r="Y5" s="15" t="s">
        <v>35</v>
      </c>
      <c r="Z5" s="15">
        <v>0.1</v>
      </c>
      <c r="AA5" s="15">
        <f>6100/2+80</f>
        <v>3130</v>
      </c>
      <c r="AB5" s="16">
        <f>Z5*AA5</f>
        <v>313</v>
      </c>
      <c r="AC5" s="17">
        <f>AB5/AD5</f>
        <v>0.0513114754098361</v>
      </c>
      <c r="AD5" s="18">
        <v>6100</v>
      </c>
    </row>
    <row r="6" s="2" customFormat="1" customHeight="1" spans="1:30">
      <c r="A6" s="44" t="s">
        <v>36</v>
      </c>
      <c r="B6" s="49" t="s">
        <v>37</v>
      </c>
      <c r="C6" s="100" t="s">
        <v>38</v>
      </c>
      <c r="D6" s="10">
        <v>1005</v>
      </c>
      <c r="E6" s="35">
        <v>6.3</v>
      </c>
      <c r="F6" s="93">
        <f>D6*E6</f>
        <v>6331.5</v>
      </c>
      <c r="G6" s="51"/>
      <c r="H6" s="38">
        <f t="shared" ref="H6:H10" si="2">D6*E6</f>
        <v>6331.5</v>
      </c>
      <c r="I6" s="39" t="s">
        <v>39</v>
      </c>
      <c r="J6" s="43" t="s">
        <v>40</v>
      </c>
      <c r="K6" s="101" t="s">
        <v>41</v>
      </c>
      <c r="L6" s="18"/>
      <c r="M6" s="18"/>
      <c r="N6" s="18"/>
      <c r="O6" s="18"/>
      <c r="P6" s="15">
        <f t="shared" si="1"/>
        <v>1205</v>
      </c>
      <c r="Q6" s="41">
        <v>1400</v>
      </c>
      <c r="R6" s="28">
        <f t="shared" si="0"/>
        <v>1.39303482587065</v>
      </c>
      <c r="S6" s="18">
        <v>1005</v>
      </c>
      <c r="U6" s="101" t="s">
        <v>42</v>
      </c>
      <c r="V6" s="43" t="s">
        <v>43</v>
      </c>
      <c r="W6" s="18"/>
      <c r="X6" s="18"/>
      <c r="Y6" s="18"/>
      <c r="Z6" s="18">
        <v>0.5</v>
      </c>
      <c r="AA6" s="15">
        <f>6100/2+80</f>
        <v>3130</v>
      </c>
      <c r="AB6" s="41">
        <f>Z6*AA6</f>
        <v>1565</v>
      </c>
      <c r="AC6" s="28">
        <f>AB6/AD6</f>
        <v>0.25655737704918</v>
      </c>
      <c r="AD6" s="18">
        <v>6100</v>
      </c>
    </row>
    <row r="7" s="2" customFormat="1" customHeight="1" spans="1:30">
      <c r="A7" s="44" t="s">
        <v>44</v>
      </c>
      <c r="B7" s="55" t="s">
        <v>45</v>
      </c>
      <c r="C7" s="100" t="s">
        <v>38</v>
      </c>
      <c r="D7" s="10">
        <v>6100</v>
      </c>
      <c r="E7" s="102">
        <v>2.23</v>
      </c>
      <c r="F7" s="103">
        <f>D7*E7</f>
        <v>13603</v>
      </c>
      <c r="G7" s="104" t="s">
        <v>46</v>
      </c>
      <c r="H7" s="38">
        <f t="shared" si="2"/>
        <v>13603</v>
      </c>
      <c r="I7" s="39" t="s">
        <v>47</v>
      </c>
      <c r="J7" s="43" t="s">
        <v>22</v>
      </c>
      <c r="K7" s="40"/>
      <c r="L7" s="18"/>
      <c r="M7" s="18"/>
      <c r="N7" s="18"/>
      <c r="O7" s="18"/>
      <c r="P7" s="15">
        <f t="shared" si="1"/>
        <v>1205</v>
      </c>
      <c r="Q7" s="41">
        <v>300</v>
      </c>
      <c r="R7" s="28">
        <f t="shared" si="0"/>
        <v>0.298507462686567</v>
      </c>
      <c r="S7" s="18">
        <v>1005</v>
      </c>
      <c r="U7" s="9" t="s">
        <v>48</v>
      </c>
      <c r="V7" s="9"/>
      <c r="W7" s="52"/>
      <c r="X7" s="52"/>
      <c r="Y7" s="52"/>
      <c r="Z7" s="52"/>
      <c r="AA7" s="52"/>
      <c r="AB7" s="53">
        <f>SUM(AB2:AB6)</f>
        <v>3285.94525</v>
      </c>
      <c r="AC7" s="54">
        <f>SUM(AC2:AC6)</f>
        <v>0.538679549180328</v>
      </c>
      <c r="AD7" s="18">
        <v>6100</v>
      </c>
    </row>
    <row r="8" s="2" customFormat="1" customHeight="1" spans="1:30">
      <c r="A8" s="44" t="s">
        <v>49</v>
      </c>
      <c r="B8" s="49" t="s">
        <v>50</v>
      </c>
      <c r="C8" s="100" t="s">
        <v>51</v>
      </c>
      <c r="D8" s="10">
        <v>6100</v>
      </c>
      <c r="E8" s="105"/>
      <c r="F8" s="106"/>
      <c r="G8" s="107"/>
      <c r="H8" s="38">
        <f t="shared" si="2"/>
        <v>0</v>
      </c>
      <c r="I8" s="46"/>
      <c r="J8" s="14" t="s">
        <v>32</v>
      </c>
      <c r="K8" s="47" t="s">
        <v>33</v>
      </c>
      <c r="L8" s="15" t="s">
        <v>34</v>
      </c>
      <c r="M8" s="15"/>
      <c r="N8" s="15" t="s">
        <v>35</v>
      </c>
      <c r="O8" s="15">
        <v>0.25</v>
      </c>
      <c r="P8" s="15">
        <v>1050</v>
      </c>
      <c r="Q8" s="16">
        <f>O8*P8</f>
        <v>262.5</v>
      </c>
      <c r="R8" s="17">
        <f t="shared" si="0"/>
        <v>0.261194029850746</v>
      </c>
      <c r="S8" s="18">
        <v>1005</v>
      </c>
      <c r="U8" s="9"/>
      <c r="V8" s="108"/>
      <c r="W8" s="52"/>
      <c r="X8" s="52"/>
      <c r="Y8" s="52" t="s">
        <v>52</v>
      </c>
      <c r="Z8" s="10" t="s">
        <v>53</v>
      </c>
      <c r="AA8" s="59"/>
      <c r="AB8" s="60">
        <v>1.2</v>
      </c>
      <c r="AC8" s="54">
        <f>AC7*AB8</f>
        <v>0.646415459016393</v>
      </c>
      <c r="AD8" s="52"/>
    </row>
    <row r="9" s="2" customFormat="1" customHeight="1" spans="1:30">
      <c r="A9" s="44" t="s">
        <v>54</v>
      </c>
      <c r="B9" s="49" t="s">
        <v>55</v>
      </c>
      <c r="C9" s="100" t="s">
        <v>56</v>
      </c>
      <c r="D9" s="10">
        <v>6100</v>
      </c>
      <c r="E9" s="35">
        <f>0.65/2</f>
        <v>0.325</v>
      </c>
      <c r="F9" s="93">
        <f>D9*E9</f>
        <v>1982.5</v>
      </c>
      <c r="G9" s="56"/>
      <c r="H9" s="38">
        <f t="shared" si="2"/>
        <v>1982.5</v>
      </c>
      <c r="I9" s="46" t="s">
        <v>57</v>
      </c>
      <c r="J9" s="101" t="s">
        <v>58</v>
      </c>
      <c r="K9" s="43" t="s">
        <v>43</v>
      </c>
      <c r="L9" s="18"/>
      <c r="M9" s="18"/>
      <c r="N9" s="18"/>
      <c r="O9" s="18">
        <v>0.1</v>
      </c>
      <c r="P9" s="15">
        <v>1100</v>
      </c>
      <c r="Q9" s="41">
        <f>O9*P9</f>
        <v>110</v>
      </c>
      <c r="R9" s="28">
        <f t="shared" si="0"/>
        <v>0.109452736318408</v>
      </c>
      <c r="S9" s="18">
        <v>1005</v>
      </c>
    </row>
    <row r="10" s="2" customFormat="1" customHeight="1" spans="1:30">
      <c r="A10" s="44" t="s">
        <v>59</v>
      </c>
      <c r="B10" s="49" t="s">
        <v>60</v>
      </c>
      <c r="C10" s="100" t="s">
        <v>56</v>
      </c>
      <c r="D10" s="10">
        <v>6100</v>
      </c>
      <c r="E10" s="35">
        <v>0.325</v>
      </c>
      <c r="F10" s="93">
        <f>D10*E10</f>
        <v>1982.5</v>
      </c>
      <c r="G10" s="56"/>
      <c r="H10" s="38">
        <f t="shared" si="2"/>
        <v>1982.5</v>
      </c>
      <c r="I10" s="46"/>
      <c r="J10" s="9" t="s">
        <v>48</v>
      </c>
      <c r="K10" s="9"/>
      <c r="L10" s="52"/>
      <c r="M10" s="52"/>
      <c r="N10" s="52"/>
      <c r="O10" s="52"/>
      <c r="P10" s="52"/>
      <c r="Q10" s="53">
        <f>SUM(Q2:Q9)</f>
        <v>5273.51016638043</v>
      </c>
      <c r="R10" s="54">
        <f>SUM(R2:R9)</f>
        <v>5.24727379739347</v>
      </c>
      <c r="S10" s="18">
        <v>1005</v>
      </c>
    </row>
    <row r="11" s="2" customFormat="1" customHeight="1" spans="1:30">
      <c r="A11" s="48" t="s">
        <v>61</v>
      </c>
      <c r="B11" s="109" t="s">
        <v>62</v>
      </c>
      <c r="C11" s="100" t="s">
        <v>63</v>
      </c>
      <c r="D11" s="10">
        <v>6100</v>
      </c>
      <c r="E11" s="35">
        <f>F11/D11</f>
        <v>0.059016393442623</v>
      </c>
      <c r="F11" s="93">
        <v>360</v>
      </c>
      <c r="G11" s="56"/>
      <c r="H11" s="110"/>
      <c r="J11" s="9"/>
      <c r="K11" s="108"/>
      <c r="L11" s="52"/>
      <c r="M11" s="52"/>
      <c r="N11" s="52" t="s">
        <v>52</v>
      </c>
      <c r="O11" s="10" t="s">
        <v>53</v>
      </c>
      <c r="P11" s="59"/>
      <c r="Q11" s="60">
        <v>1.2</v>
      </c>
      <c r="R11" s="54">
        <f>R10*Q11</f>
        <v>6.29672855687216</v>
      </c>
      <c r="S11" s="52"/>
    </row>
    <row r="12" s="2" customFormat="1" customHeight="1" spans="1:30">
      <c r="A12" s="44"/>
      <c r="B12" s="55" t="s">
        <v>64</v>
      </c>
      <c r="C12" s="100"/>
      <c r="D12" s="10"/>
      <c r="E12" s="35"/>
      <c r="F12" s="93"/>
      <c r="G12" s="51"/>
      <c r="H12" s="111"/>
    </row>
    <row r="13" s="1" customFormat="1" customHeight="1" spans="1:30">
      <c r="A13" s="62" t="s">
        <v>65</v>
      </c>
      <c r="B13" s="62"/>
      <c r="C13" s="62"/>
      <c r="D13" s="62"/>
      <c r="E13" s="62"/>
      <c r="F13" s="62"/>
      <c r="G13" s="62"/>
      <c r="H13" s="63"/>
      <c r="I13" s="64"/>
      <c r="J13" s="9" t="s">
        <v>2</v>
      </c>
      <c r="K13" s="9" t="s">
        <v>3</v>
      </c>
      <c r="L13" s="10" t="s">
        <v>4</v>
      </c>
      <c r="M13" s="10" t="s">
        <v>5</v>
      </c>
      <c r="N13" s="10" t="s">
        <v>6</v>
      </c>
      <c r="O13" s="10" t="s">
        <v>7</v>
      </c>
      <c r="P13" s="11" t="s">
        <v>8</v>
      </c>
      <c r="Q13" s="10" t="s">
        <v>9</v>
      </c>
      <c r="R13" s="10" t="s">
        <v>10</v>
      </c>
      <c r="S13" s="10" t="s">
        <v>11</v>
      </c>
    </row>
    <row r="14" s="1" customFormat="1" ht="68" customHeight="1" spans="1:30">
      <c r="A14" s="65" t="s">
        <v>66</v>
      </c>
      <c r="B14" s="65"/>
      <c r="C14" s="65"/>
      <c r="D14" s="65"/>
      <c r="E14" s="65"/>
      <c r="F14" s="65"/>
      <c r="G14" s="65"/>
      <c r="H14" s="63"/>
      <c r="I14" s="63"/>
      <c r="J14" s="14" t="s">
        <v>13</v>
      </c>
      <c r="K14" s="14"/>
      <c r="L14" s="15">
        <v>250</v>
      </c>
      <c r="M14" s="15">
        <v>53</v>
      </c>
      <c r="N14" s="15">
        <v>65</v>
      </c>
      <c r="O14" s="15">
        <v>4100</v>
      </c>
      <c r="P14" s="15">
        <f>6100+200</f>
        <v>6300</v>
      </c>
      <c r="Q14" s="16">
        <f>L14*M14*N14*O14*P14/10000000000</f>
        <v>2224.60875</v>
      </c>
      <c r="R14" s="17">
        <f t="shared" ref="R14:R21" si="3">Q14/S14</f>
        <v>0.364689959016393</v>
      </c>
      <c r="S14" s="18">
        <v>6100</v>
      </c>
    </row>
    <row r="15" s="1" customFormat="1" customHeight="1" spans="1:30">
      <c r="H15" s="3"/>
      <c r="I15" s="3"/>
      <c r="J15" s="14" t="s">
        <v>13</v>
      </c>
      <c r="K15" s="14"/>
      <c r="L15" s="15">
        <v>250</v>
      </c>
      <c r="M15" s="15">
        <v>53</v>
      </c>
      <c r="N15" s="15">
        <v>65</v>
      </c>
      <c r="O15" s="15">
        <v>4100</v>
      </c>
      <c r="P15" s="15">
        <f t="shared" ref="P15:P21" si="4">6100+200</f>
        <v>6300</v>
      </c>
      <c r="Q15" s="16">
        <f>L15*M15*N15*O15*P15/10000000000</f>
        <v>2224.60875</v>
      </c>
      <c r="R15" s="17">
        <f t="shared" si="3"/>
        <v>0.364689959016393</v>
      </c>
      <c r="S15" s="18">
        <v>6100</v>
      </c>
    </row>
    <row r="16" s="1" customFormat="1" customHeight="1" spans="1:30">
      <c r="H16" s="3"/>
      <c r="I16" s="3"/>
      <c r="J16" s="98" t="s">
        <v>18</v>
      </c>
      <c r="K16" s="26"/>
      <c r="L16" s="18">
        <v>1</v>
      </c>
      <c r="M16" s="15">
        <v>53</v>
      </c>
      <c r="N16" s="15">
        <v>65</v>
      </c>
      <c r="O16" s="18">
        <v>0.0465</v>
      </c>
      <c r="P16" s="15">
        <f t="shared" si="4"/>
        <v>6300</v>
      </c>
      <c r="Q16" s="27">
        <f>L16*M16*N16*O16*P16/1000</f>
        <v>1009.21275</v>
      </c>
      <c r="R16" s="28">
        <f t="shared" si="3"/>
        <v>0.165444713114754</v>
      </c>
      <c r="S16" s="18">
        <v>6100</v>
      </c>
    </row>
    <row r="17" s="1" customFormat="1" customHeight="1" spans="8:30">
      <c r="H17" s="3"/>
      <c r="I17" s="3"/>
      <c r="J17" s="98" t="s">
        <v>31</v>
      </c>
      <c r="K17" s="26"/>
      <c r="L17" s="18">
        <v>1</v>
      </c>
      <c r="M17" s="15">
        <v>53</v>
      </c>
      <c r="N17" s="15">
        <v>65</v>
      </c>
      <c r="O17" s="18">
        <v>0.028</v>
      </c>
      <c r="P17" s="15">
        <f t="shared" si="4"/>
        <v>6300</v>
      </c>
      <c r="Q17" s="27">
        <f>L17*M17*N17*O17*P17/1000</f>
        <v>607.698</v>
      </c>
      <c r="R17" s="28">
        <f t="shared" si="3"/>
        <v>0.0996226229508197</v>
      </c>
      <c r="S17" s="18">
        <v>6100</v>
      </c>
    </row>
    <row r="18" s="1" customFormat="1" customHeight="1" spans="8:30">
      <c r="H18" s="3"/>
      <c r="I18" s="3"/>
      <c r="J18" s="43" t="s">
        <v>40</v>
      </c>
      <c r="K18" s="101"/>
      <c r="L18" s="18"/>
      <c r="M18" s="18"/>
      <c r="N18" s="18"/>
      <c r="O18" s="18"/>
      <c r="P18" s="15">
        <f t="shared" si="4"/>
        <v>6300</v>
      </c>
      <c r="Q18" s="41">
        <f>500+6100*0.12</f>
        <v>1232</v>
      </c>
      <c r="R18" s="28">
        <f t="shared" si="3"/>
        <v>0.201967213114754</v>
      </c>
      <c r="S18" s="18">
        <v>6100</v>
      </c>
    </row>
    <row r="19" s="1" customFormat="1" customHeight="1" spans="8:30">
      <c r="H19" s="3"/>
      <c r="I19" s="3"/>
      <c r="J19" s="43" t="s">
        <v>22</v>
      </c>
      <c r="K19" s="40"/>
      <c r="L19" s="18"/>
      <c r="M19" s="18"/>
      <c r="N19" s="18"/>
      <c r="O19" s="18"/>
      <c r="P19" s="15">
        <f t="shared" si="4"/>
        <v>6300</v>
      </c>
      <c r="Q19" s="41">
        <v>250</v>
      </c>
      <c r="R19" s="28">
        <f t="shared" si="3"/>
        <v>0.040983606557377</v>
      </c>
      <c r="S19" s="18">
        <v>6100</v>
      </c>
    </row>
    <row r="20" s="1" customFormat="1" customHeight="1" spans="8:30">
      <c r="H20" s="3"/>
      <c r="I20" s="3"/>
      <c r="J20" s="14" t="s">
        <v>32</v>
      </c>
      <c r="K20" s="47" t="s">
        <v>33</v>
      </c>
      <c r="L20" s="15" t="s">
        <v>34</v>
      </c>
      <c r="M20" s="15"/>
      <c r="N20" s="15" t="s">
        <v>35</v>
      </c>
      <c r="O20" s="15">
        <v>0.1</v>
      </c>
      <c r="P20" s="15">
        <f t="shared" si="4"/>
        <v>6300</v>
      </c>
      <c r="Q20" s="16">
        <f>O20*P20</f>
        <v>630</v>
      </c>
      <c r="R20" s="17">
        <f t="shared" si="3"/>
        <v>0.10327868852459</v>
      </c>
      <c r="S20" s="18">
        <v>6100</v>
      </c>
    </row>
    <row r="21" s="1" customFormat="1" customHeight="1" spans="8:30">
      <c r="H21" s="3"/>
      <c r="I21" s="3"/>
      <c r="J21" s="101" t="s">
        <v>42</v>
      </c>
      <c r="K21" s="43" t="s">
        <v>43</v>
      </c>
      <c r="L21" s="18"/>
      <c r="M21" s="18"/>
      <c r="N21" s="18"/>
      <c r="O21" s="18">
        <v>0.5</v>
      </c>
      <c r="P21" s="15">
        <f t="shared" si="4"/>
        <v>6300</v>
      </c>
      <c r="Q21" s="41">
        <f>O21*P21</f>
        <v>3150</v>
      </c>
      <c r="R21" s="28">
        <f t="shared" si="3"/>
        <v>0.516393442622951</v>
      </c>
      <c r="S21" s="18">
        <v>6100</v>
      </c>
    </row>
    <row r="22" s="1" customFormat="1" customHeight="1" spans="8:30">
      <c r="H22" s="3"/>
      <c r="I22" s="3"/>
      <c r="J22" s="9" t="s">
        <v>48</v>
      </c>
      <c r="K22" s="9"/>
      <c r="L22" s="52"/>
      <c r="M22" s="52"/>
      <c r="N22" s="52"/>
      <c r="O22" s="52"/>
      <c r="P22" s="52"/>
      <c r="Q22" s="53">
        <f>SUM(Q14:Q21)</f>
        <v>11328.12825</v>
      </c>
      <c r="R22" s="54">
        <f>SUM(R14:R21)</f>
        <v>1.85707020491803</v>
      </c>
      <c r="S22" s="18">
        <v>6100</v>
      </c>
    </row>
    <row r="23" s="1" customFormat="1" customHeight="1" spans="8:30">
      <c r="H23" s="3"/>
      <c r="I23" s="3"/>
      <c r="J23" s="9"/>
      <c r="K23" s="108"/>
      <c r="L23" s="52"/>
      <c r="M23" s="52"/>
      <c r="N23" s="52" t="s">
        <v>52</v>
      </c>
      <c r="O23" s="10" t="s">
        <v>53</v>
      </c>
      <c r="P23" s="59"/>
      <c r="Q23" s="60">
        <v>1.2</v>
      </c>
      <c r="R23" s="54">
        <f>R22*Q23</f>
        <v>2.22848424590164</v>
      </c>
      <c r="S23" s="52"/>
    </row>
    <row r="24" s="1" customFormat="1" customHeight="1" spans="8:30">
      <c r="H24" s="3"/>
      <c r="I24" s="3"/>
      <c r="J24" s="82"/>
      <c r="K24" s="81"/>
      <c r="L24" s="76"/>
      <c r="M24" s="76"/>
      <c r="N24" s="76"/>
      <c r="O24" s="76"/>
      <c r="P24" s="73"/>
      <c r="Q24" s="84"/>
      <c r="R24" s="80"/>
      <c r="S24" s="76"/>
      <c r="U24" s="82"/>
      <c r="V24" s="81"/>
      <c r="W24" s="76"/>
      <c r="X24" s="76"/>
      <c r="Y24" s="76"/>
      <c r="Z24" s="76"/>
      <c r="AA24" s="73"/>
      <c r="AB24" s="84"/>
      <c r="AC24" s="80"/>
      <c r="AD24" s="76"/>
    </row>
    <row r="25" s="1" customFormat="1" customHeight="1" spans="8:30">
      <c r="H25" s="3"/>
      <c r="I25" s="3"/>
      <c r="J25" s="4"/>
      <c r="K25" s="85"/>
      <c r="L25" s="73"/>
      <c r="M25" s="73"/>
      <c r="N25" s="73"/>
      <c r="O25" s="73"/>
      <c r="P25" s="73"/>
      <c r="Q25" s="74"/>
      <c r="R25" s="75"/>
      <c r="S25" s="76"/>
      <c r="U25" s="4"/>
      <c r="V25" s="85"/>
      <c r="W25" s="73"/>
      <c r="X25" s="73"/>
      <c r="Y25" s="73"/>
      <c r="Z25" s="73"/>
      <c r="AA25" s="73"/>
      <c r="AB25" s="74"/>
      <c r="AC25" s="75"/>
      <c r="AD25" s="76"/>
    </row>
    <row r="26" s="1" customFormat="1" customHeight="1" spans="8:30">
      <c r="H26" s="3"/>
      <c r="I26" s="3"/>
      <c r="J26" s="70"/>
      <c r="K26" s="70"/>
      <c r="L26" s="86"/>
      <c r="M26" s="86"/>
      <c r="N26" s="86"/>
      <c r="O26" s="86"/>
      <c r="P26" s="86"/>
      <c r="Q26" s="87"/>
      <c r="R26" s="88"/>
      <c r="S26" s="76"/>
      <c r="U26" s="70"/>
      <c r="V26" s="70"/>
      <c r="W26" s="86"/>
      <c r="X26" s="86"/>
      <c r="Y26" s="86"/>
      <c r="Z26" s="86"/>
      <c r="AA26" s="86"/>
      <c r="AB26" s="87"/>
      <c r="AC26" s="88"/>
      <c r="AD26" s="76"/>
    </row>
    <row r="27" s="1" customFormat="1" customHeight="1" spans="8:30">
      <c r="H27" s="3"/>
      <c r="I27" s="3"/>
      <c r="J27" s="70"/>
      <c r="K27" s="112"/>
      <c r="L27" s="86"/>
      <c r="M27" s="86"/>
      <c r="N27" s="86"/>
      <c r="O27" s="71"/>
      <c r="P27" s="91"/>
      <c r="Q27" s="92"/>
      <c r="R27" s="88"/>
      <c r="S27" s="86"/>
      <c r="U27" s="70"/>
      <c r="V27" s="112"/>
      <c r="W27" s="86"/>
      <c r="X27" s="86"/>
      <c r="Y27" s="86"/>
      <c r="Z27" s="71"/>
      <c r="AA27" s="91"/>
      <c r="AB27" s="92"/>
      <c r="AC27" s="88"/>
      <c r="AD27" s="86"/>
    </row>
    <row r="28" s="1" customFormat="1" customHeight="1" spans="8:30">
      <c r="H28" s="3"/>
      <c r="I28" s="3"/>
      <c r="J28" s="4"/>
      <c r="K28" s="4"/>
      <c r="L28" s="4"/>
      <c r="M28" s="4"/>
      <c r="N28" s="4"/>
      <c r="O28" s="4"/>
      <c r="P28" s="4"/>
      <c r="Q28" s="4"/>
      <c r="R28" s="4"/>
      <c r="S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="1" customFormat="1" customHeight="1" spans="8:30">
      <c r="H29" s="3"/>
      <c r="I29" s="3"/>
      <c r="J29" s="4"/>
      <c r="K29" s="4"/>
      <c r="L29" s="4"/>
      <c r="M29" s="4"/>
      <c r="N29" s="4"/>
      <c r="O29" s="4"/>
      <c r="P29" s="4"/>
      <c r="Q29" s="4"/>
      <c r="R29" s="4"/>
      <c r="S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s="1" customFormat="1" customHeight="1" spans="8:30">
      <c r="H30" s="3"/>
      <c r="I30" s="3"/>
      <c r="J30" s="4"/>
      <c r="K30" s="4"/>
      <c r="L30" s="4"/>
      <c r="M30" s="4"/>
      <c r="N30" s="4"/>
      <c r="O30" s="4"/>
      <c r="P30" s="4"/>
      <c r="Q30" s="4"/>
      <c r="R30" s="4"/>
      <c r="S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s="1" customFormat="1" customHeight="1" spans="8:30">
      <c r="H31" s="3"/>
      <c r="I31" s="3"/>
      <c r="J31" s="4"/>
      <c r="K31" s="4"/>
      <c r="L31" s="4"/>
      <c r="M31" s="4"/>
      <c r="N31" s="4"/>
      <c r="O31" s="4"/>
      <c r="P31" s="4"/>
      <c r="Q31" s="4"/>
      <c r="R31" s="4"/>
      <c r="S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s="1" customFormat="1" customHeight="1" spans="8:30">
      <c r="H32" s="3"/>
      <c r="I32" s="3"/>
    </row>
    <row r="33" s="1" customFormat="1" customHeight="1" spans="8:9">
      <c r="H33" s="3"/>
      <c r="I33" s="3"/>
    </row>
  </sheetData>
  <mergeCells count="8">
    <mergeCell ref="A1:F1"/>
    <mergeCell ref="A2:G2"/>
    <mergeCell ref="A3:G3"/>
    <mergeCell ref="A13:G13"/>
    <mergeCell ref="A14:G14"/>
    <mergeCell ref="E7:E8"/>
    <mergeCell ref="F7:F8"/>
    <mergeCell ref="G7:G8"/>
  </mergeCells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43"/>
  <sheetViews>
    <sheetView workbookViewId="0">
      <selection activeCell="A1" sqref="$A1:$XFD1048576"/>
    </sheetView>
  </sheetViews>
  <sheetFormatPr defaultColWidth="9" defaultRowHeight="41" customHeight="1"/>
  <cols>
    <col min="1" max="1" width="12.625" style="1" customWidth="1"/>
    <col min="2" max="2" width="14.35" style="1" customWidth="1"/>
    <col min="3" max="3" width="19.25" style="1" customWidth="1"/>
    <col min="4" max="4" width="8.09166666666667" style="1" customWidth="1"/>
    <col min="5" max="5" width="9.25833333333333" style="1" customWidth="1"/>
    <col min="6" max="6" width="10.4333333333333" style="1" customWidth="1"/>
    <col min="7" max="7" width="12.875" style="1" customWidth="1"/>
    <col min="8" max="8" width="6.4" style="3" customWidth="1"/>
    <col min="9" max="9" width="8.75" style="3" customWidth="1"/>
    <col min="10" max="10" width="14.375" style="4" customWidth="1"/>
    <col min="11" max="11" width="9.5" style="4" customWidth="1"/>
    <col min="12" max="12" width="9" style="5"/>
    <col min="13" max="13" width="14.125" style="5"/>
    <col min="14" max="15" width="9" style="5"/>
    <col min="16" max="16" width="10.375" style="5" customWidth="1"/>
    <col min="17" max="17" width="8.75" style="5" customWidth="1"/>
    <col min="18" max="19" width="9" style="5"/>
    <col min="20" max="26" width="9" style="1"/>
    <col min="27" max="27" width="8.375" style="1" customWidth="1"/>
    <col min="28" max="16384" width="9" style="1"/>
  </cols>
  <sheetData>
    <row r="1" s="1" customFormat="1" customHeight="1" spans="1:30">
      <c r="A1" s="6" t="s">
        <v>0</v>
      </c>
      <c r="B1" s="6"/>
      <c r="C1" s="6"/>
      <c r="D1" s="6"/>
      <c r="E1" s="6"/>
      <c r="F1" s="6"/>
      <c r="G1" s="7" t="s">
        <v>1</v>
      </c>
      <c r="H1" s="3"/>
      <c r="I1" s="97"/>
      <c r="J1" s="9" t="s">
        <v>2</v>
      </c>
      <c r="K1" s="9" t="s">
        <v>3</v>
      </c>
      <c r="L1" s="10" t="s">
        <v>4</v>
      </c>
      <c r="M1" s="10" t="s">
        <v>5</v>
      </c>
      <c r="N1" s="10" t="s">
        <v>6</v>
      </c>
      <c r="O1" s="10" t="s">
        <v>7</v>
      </c>
      <c r="P1" s="11" t="s">
        <v>8</v>
      </c>
      <c r="Q1" s="10" t="s">
        <v>9</v>
      </c>
      <c r="R1" s="10" t="s">
        <v>10</v>
      </c>
      <c r="S1" s="10" t="s">
        <v>11</v>
      </c>
      <c r="U1" s="9" t="s">
        <v>2</v>
      </c>
      <c r="V1" s="9" t="s">
        <v>3</v>
      </c>
      <c r="W1" s="10" t="s">
        <v>4</v>
      </c>
      <c r="X1" s="10" t="s">
        <v>5</v>
      </c>
      <c r="Y1" s="10" t="s">
        <v>6</v>
      </c>
      <c r="Z1" s="10" t="s">
        <v>7</v>
      </c>
      <c r="AA1" s="11" t="s">
        <v>8</v>
      </c>
      <c r="AB1" s="10" t="s">
        <v>9</v>
      </c>
      <c r="AC1" s="10" t="s">
        <v>10</v>
      </c>
      <c r="AD1" s="10" t="s">
        <v>11</v>
      </c>
    </row>
    <row r="2" s="1" customFormat="1" customHeight="1" spans="1:30">
      <c r="A2" s="12" t="s">
        <v>12</v>
      </c>
      <c r="B2" s="12"/>
      <c r="C2" s="12"/>
      <c r="D2" s="12"/>
      <c r="E2" s="12"/>
      <c r="F2" s="12"/>
      <c r="G2" s="12"/>
      <c r="H2" s="3"/>
      <c r="I2" s="13" t="s">
        <v>67</v>
      </c>
      <c r="J2" s="14" t="s">
        <v>13</v>
      </c>
      <c r="K2" s="14"/>
      <c r="L2" s="15">
        <v>350</v>
      </c>
      <c r="M2" s="15">
        <v>71.1</v>
      </c>
      <c r="N2" s="15">
        <v>95</v>
      </c>
      <c r="O2" s="15">
        <v>3380</v>
      </c>
      <c r="P2" s="15">
        <f>417+203</f>
        <v>620</v>
      </c>
      <c r="Q2" s="16">
        <f>L2*M2*N2*O2*P2/10000000000</f>
        <v>495.415557</v>
      </c>
      <c r="R2" s="17">
        <f t="shared" ref="R2:R8" si="0">Q2/S2</f>
        <v>1.18804689928058</v>
      </c>
      <c r="S2" s="18">
        <v>417</v>
      </c>
      <c r="U2" s="14" t="s">
        <v>13</v>
      </c>
      <c r="V2" s="14"/>
      <c r="W2" s="15">
        <v>210</v>
      </c>
      <c r="X2" s="15">
        <v>39</v>
      </c>
      <c r="Y2" s="15">
        <v>54</v>
      </c>
      <c r="Z2" s="15">
        <v>4670</v>
      </c>
      <c r="AA2" s="16">
        <f>5000/6+200</f>
        <v>1033.33333333333</v>
      </c>
      <c r="AB2" s="16">
        <f>W2*X2*Y2*Z2*AA2/10000000000</f>
        <v>213.419934</v>
      </c>
      <c r="AC2" s="17">
        <f>AB2/AD2</f>
        <v>0.0426839868</v>
      </c>
      <c r="AD2" s="18">
        <v>5000</v>
      </c>
    </row>
    <row r="3" s="1" customFormat="1" customHeight="1" spans="1:30">
      <c r="A3" s="19" t="s">
        <v>14</v>
      </c>
      <c r="B3" s="19"/>
      <c r="C3" s="19"/>
      <c r="D3" s="19"/>
      <c r="E3" s="19"/>
      <c r="F3" s="19"/>
      <c r="G3" s="19"/>
      <c r="H3" s="3"/>
      <c r="I3" s="3" t="s">
        <v>15</v>
      </c>
      <c r="J3" s="96" t="s">
        <v>68</v>
      </c>
      <c r="K3" s="40" t="s">
        <v>17</v>
      </c>
      <c r="L3" s="18">
        <v>1</v>
      </c>
      <c r="M3" s="15">
        <v>71.1</v>
      </c>
      <c r="N3" s="15">
        <v>95</v>
      </c>
      <c r="O3" s="18">
        <v>0.62</v>
      </c>
      <c r="P3" s="15">
        <f t="shared" ref="P3:P8" si="1">417+203</f>
        <v>620</v>
      </c>
      <c r="Q3" s="41">
        <f>L3*M3/2.54*N3/2.54*O3*P3/1000</f>
        <v>402.447423894848</v>
      </c>
      <c r="R3" s="28">
        <f t="shared" si="0"/>
        <v>0.965101735958868</v>
      </c>
      <c r="S3" s="18">
        <v>417</v>
      </c>
      <c r="U3" s="26" t="s">
        <v>69</v>
      </c>
      <c r="V3" s="26"/>
      <c r="W3" s="18">
        <v>1</v>
      </c>
      <c r="X3" s="15">
        <v>39</v>
      </c>
      <c r="Y3" s="15">
        <v>54</v>
      </c>
      <c r="Z3" s="18">
        <v>0.039</v>
      </c>
      <c r="AA3" s="16">
        <f>5000/6+200</f>
        <v>1033.33333333333</v>
      </c>
      <c r="AB3" s="27">
        <f>W3*X3*Y3*Z3*AA3/1000</f>
        <v>84.8718</v>
      </c>
      <c r="AC3" s="28">
        <f>AB3/AD3</f>
        <v>0.01697436</v>
      </c>
      <c r="AD3" s="18">
        <v>5000</v>
      </c>
    </row>
    <row r="4" s="1" customFormat="1" customHeight="1" spans="1:30">
      <c r="A4" s="20" t="s">
        <v>19</v>
      </c>
      <c r="B4" s="21" t="s">
        <v>70</v>
      </c>
      <c r="C4" s="20"/>
      <c r="D4" s="20"/>
      <c r="E4" s="20" t="s">
        <v>21</v>
      </c>
      <c r="F4" s="22"/>
      <c r="G4" s="23">
        <v>46113</v>
      </c>
      <c r="I4" s="24"/>
      <c r="J4" s="26" t="s">
        <v>69</v>
      </c>
      <c r="K4" s="26"/>
      <c r="L4" s="18">
        <v>1</v>
      </c>
      <c r="M4" s="15">
        <v>71.1</v>
      </c>
      <c r="N4" s="15">
        <v>95</v>
      </c>
      <c r="O4" s="18">
        <v>0.039</v>
      </c>
      <c r="P4" s="15">
        <f t="shared" si="1"/>
        <v>620</v>
      </c>
      <c r="Q4" s="27">
        <f>L4*M4*N4*O4*P4/1000</f>
        <v>163.32381</v>
      </c>
      <c r="R4" s="28">
        <f t="shared" si="0"/>
        <v>0.39166381294964</v>
      </c>
      <c r="S4" s="18">
        <v>417</v>
      </c>
      <c r="U4" s="25" t="s">
        <v>71</v>
      </c>
      <c r="V4" s="26"/>
      <c r="W4" s="18"/>
      <c r="X4" s="15"/>
      <c r="Y4" s="15"/>
      <c r="Z4" s="18">
        <v>0.05</v>
      </c>
      <c r="AA4" s="16">
        <v>5100</v>
      </c>
      <c r="AB4" s="27">
        <f>Z4*AA4</f>
        <v>255</v>
      </c>
      <c r="AC4" s="28">
        <v>0.05</v>
      </c>
      <c r="AD4" s="18">
        <v>5000</v>
      </c>
    </row>
    <row r="5" s="1" customFormat="1" customHeight="1" spans="1:30">
      <c r="A5" s="29" t="s">
        <v>23</v>
      </c>
      <c r="B5" s="29" t="s">
        <v>24</v>
      </c>
      <c r="C5" s="30" t="s">
        <v>25</v>
      </c>
      <c r="D5" s="30" t="s">
        <v>26</v>
      </c>
      <c r="E5" s="30" t="s">
        <v>27</v>
      </c>
      <c r="F5" s="30" t="s">
        <v>28</v>
      </c>
      <c r="G5" s="29" t="s">
        <v>29</v>
      </c>
      <c r="I5" s="31" t="s">
        <v>30</v>
      </c>
      <c r="J5" s="26" t="s">
        <v>31</v>
      </c>
      <c r="K5" s="26"/>
      <c r="L5" s="18">
        <v>1</v>
      </c>
      <c r="M5" s="15">
        <v>71.1</v>
      </c>
      <c r="N5" s="15">
        <v>95</v>
      </c>
      <c r="O5" s="18">
        <v>0.028</v>
      </c>
      <c r="P5" s="15">
        <f t="shared" si="1"/>
        <v>620</v>
      </c>
      <c r="Q5" s="27">
        <f>L5*M5*N5*O5*P5/1000</f>
        <v>117.25812</v>
      </c>
      <c r="R5" s="28">
        <f t="shared" si="0"/>
        <v>0.281194532374101</v>
      </c>
      <c r="S5" s="18">
        <v>417</v>
      </c>
      <c r="U5" s="40" t="s">
        <v>40</v>
      </c>
      <c r="V5" s="40"/>
      <c r="W5" s="18"/>
      <c r="X5" s="18"/>
      <c r="Y5" s="18"/>
      <c r="Z5" s="18"/>
      <c r="AA5" s="16">
        <f>5000/6+200</f>
        <v>1033.33333333333</v>
      </c>
      <c r="AB5" s="41">
        <v>500</v>
      </c>
      <c r="AC5" s="28">
        <f>AB5/AD5</f>
        <v>0.1</v>
      </c>
      <c r="AD5" s="18">
        <v>5000</v>
      </c>
    </row>
    <row r="6" s="2" customFormat="1" customHeight="1" spans="1:30">
      <c r="A6" s="33" t="s">
        <v>72</v>
      </c>
      <c r="B6" s="33" t="s">
        <v>73</v>
      </c>
      <c r="C6" s="34" t="s">
        <v>74</v>
      </c>
      <c r="D6" s="10">
        <v>417</v>
      </c>
      <c r="E6" s="35">
        <f>6.3*1.15</f>
        <v>7.245</v>
      </c>
      <c r="F6" s="93">
        <f>D6*E6</f>
        <v>3021.165</v>
      </c>
      <c r="G6" s="37" t="s">
        <v>75</v>
      </c>
      <c r="H6" s="38">
        <f t="shared" ref="H6:H8" si="2">D6*E6</f>
        <v>3021.165</v>
      </c>
      <c r="I6" s="39" t="s">
        <v>76</v>
      </c>
      <c r="J6" s="40" t="s">
        <v>40</v>
      </c>
      <c r="K6" s="40"/>
      <c r="L6" s="18"/>
      <c r="M6" s="18"/>
      <c r="N6" s="18"/>
      <c r="O6" s="18"/>
      <c r="P6" s="15">
        <f t="shared" si="1"/>
        <v>620</v>
      </c>
      <c r="Q6" s="41">
        <v>700</v>
      </c>
      <c r="R6" s="28">
        <f t="shared" si="0"/>
        <v>1.67865707434053</v>
      </c>
      <c r="S6" s="18">
        <v>417</v>
      </c>
      <c r="U6" s="43" t="s">
        <v>22</v>
      </c>
      <c r="V6" s="40"/>
      <c r="W6" s="18"/>
      <c r="X6" s="18"/>
      <c r="Y6" s="18"/>
      <c r="Z6" s="18"/>
      <c r="AA6" s="16">
        <f>5000/6+200</f>
        <v>1033.33333333333</v>
      </c>
      <c r="AB6" s="41">
        <v>150</v>
      </c>
      <c r="AC6" s="28">
        <f t="shared" ref="AC6:AC12" si="3">AB6/AD6</f>
        <v>0.03</v>
      </c>
      <c r="AD6" s="18">
        <v>5000</v>
      </c>
    </row>
    <row r="7" s="2" customFormat="1" customHeight="1" spans="1:30">
      <c r="A7" s="33"/>
      <c r="B7" s="33"/>
      <c r="C7" s="34"/>
      <c r="D7" s="10">
        <v>834</v>
      </c>
      <c r="E7" s="35">
        <f>4.5*1.15</f>
        <v>5.175</v>
      </c>
      <c r="F7" s="93">
        <f>D7*E7</f>
        <v>4315.95</v>
      </c>
      <c r="G7" s="42"/>
      <c r="H7" s="38">
        <f t="shared" ref="H7:H13" si="4">D7*E7</f>
        <v>4315.95</v>
      </c>
      <c r="I7" s="39"/>
      <c r="J7" s="43" t="s">
        <v>22</v>
      </c>
      <c r="K7" s="40"/>
      <c r="L7" s="18"/>
      <c r="M7" s="18"/>
      <c r="N7" s="18"/>
      <c r="O7" s="18"/>
      <c r="P7" s="15">
        <f t="shared" si="1"/>
        <v>620</v>
      </c>
      <c r="Q7" s="41">
        <v>250</v>
      </c>
      <c r="R7" s="28">
        <f t="shared" si="0"/>
        <v>0.599520383693046</v>
      </c>
      <c r="S7" s="18">
        <v>417</v>
      </c>
      <c r="U7" s="14" t="s">
        <v>32</v>
      </c>
      <c r="V7" s="47" t="s">
        <v>33</v>
      </c>
      <c r="W7" s="15" t="s">
        <v>34</v>
      </c>
      <c r="X7" s="15"/>
      <c r="Y7" s="15" t="s">
        <v>35</v>
      </c>
      <c r="Z7" s="15">
        <v>0.1</v>
      </c>
      <c r="AA7" s="16">
        <f>5000/6+200</f>
        <v>1033.33333333333</v>
      </c>
      <c r="AB7" s="16">
        <f>Z7*AA7</f>
        <v>103.333333333333</v>
      </c>
      <c r="AC7" s="17">
        <f t="shared" si="3"/>
        <v>0.0206666666666667</v>
      </c>
      <c r="AD7" s="18">
        <v>5000</v>
      </c>
    </row>
    <row r="8" s="2" customFormat="1" customHeight="1" spans="1:30">
      <c r="A8" s="44"/>
      <c r="B8" s="45"/>
      <c r="C8" s="34"/>
      <c r="D8" s="10">
        <v>2084</v>
      </c>
      <c r="E8" s="35">
        <f>3.32*1.15</f>
        <v>3.818</v>
      </c>
      <c r="F8" s="93">
        <f t="shared" ref="F8:F13" si="5">D8*E8</f>
        <v>7956.712</v>
      </c>
      <c r="G8" s="37"/>
      <c r="H8" s="38">
        <f t="shared" si="4"/>
        <v>7956.712</v>
      </c>
      <c r="I8" s="46"/>
      <c r="J8" s="14" t="s">
        <v>32</v>
      </c>
      <c r="K8" s="47" t="s">
        <v>33</v>
      </c>
      <c r="L8" s="15" t="s">
        <v>34</v>
      </c>
      <c r="M8" s="15"/>
      <c r="N8" s="15" t="s">
        <v>35</v>
      </c>
      <c r="O8" s="15">
        <v>0.1</v>
      </c>
      <c r="P8" s="15">
        <f t="shared" si="1"/>
        <v>620</v>
      </c>
      <c r="Q8" s="16">
        <f>O8*P8</f>
        <v>62</v>
      </c>
      <c r="R8" s="17">
        <f t="shared" si="0"/>
        <v>0.148681055155875</v>
      </c>
      <c r="S8" s="18">
        <v>417</v>
      </c>
      <c r="U8" s="9" t="s">
        <v>48</v>
      </c>
      <c r="V8" s="9"/>
      <c r="W8" s="52"/>
      <c r="X8" s="52"/>
      <c r="Y8" s="52"/>
      <c r="Z8" s="52"/>
      <c r="AA8" s="52"/>
      <c r="AB8" s="53">
        <f>SUM(AB2:AB7)</f>
        <v>1306.62506733333</v>
      </c>
      <c r="AC8" s="54">
        <f>SUM(AC2:AC7)</f>
        <v>0.260325013466667</v>
      </c>
      <c r="AD8" s="18">
        <v>5000</v>
      </c>
    </row>
    <row r="9" s="2" customFormat="1" customHeight="1" spans="1:30">
      <c r="A9" s="48"/>
      <c r="B9" s="49"/>
      <c r="C9" s="34"/>
      <c r="D9" s="10">
        <v>4167</v>
      </c>
      <c r="E9" s="35">
        <f>2.99*1.15</f>
        <v>3.4385</v>
      </c>
      <c r="F9" s="93">
        <f t="shared" si="5"/>
        <v>14328.2295</v>
      </c>
      <c r="G9" s="50"/>
      <c r="H9" s="38">
        <f t="shared" si="4"/>
        <v>14328.2295</v>
      </c>
      <c r="I9" s="46"/>
      <c r="J9" s="9" t="s">
        <v>48</v>
      </c>
      <c r="K9" s="9"/>
      <c r="L9" s="52"/>
      <c r="M9" s="52"/>
      <c r="N9" s="52"/>
      <c r="O9" s="52"/>
      <c r="P9" s="52"/>
      <c r="Q9" s="53">
        <f>SUM(Q2:Q8)</f>
        <v>2190.44491089485</v>
      </c>
      <c r="R9" s="54">
        <f>SUM(R2:R8)</f>
        <v>5.25286549375263</v>
      </c>
      <c r="S9" s="18">
        <v>417</v>
      </c>
      <c r="U9" s="57"/>
      <c r="V9" s="58"/>
      <c r="W9" s="52"/>
      <c r="X9" s="52"/>
      <c r="Y9" s="52" t="s">
        <v>52</v>
      </c>
      <c r="Z9" s="10" t="s">
        <v>53</v>
      </c>
      <c r="AA9" s="59"/>
      <c r="AB9" s="60">
        <v>1.2</v>
      </c>
      <c r="AC9" s="54">
        <f>AC8*AB9</f>
        <v>0.31239001616</v>
      </c>
      <c r="AD9" s="52"/>
    </row>
    <row r="10" s="2" customFormat="1" customHeight="1" spans="1:30">
      <c r="A10" s="33" t="s">
        <v>77</v>
      </c>
      <c r="B10" s="33" t="s">
        <v>78</v>
      </c>
      <c r="C10" s="34" t="s">
        <v>79</v>
      </c>
      <c r="D10" s="10">
        <v>5000</v>
      </c>
      <c r="E10" s="35">
        <f>0.31*1.15</f>
        <v>0.3565</v>
      </c>
      <c r="F10" s="93">
        <f t="shared" si="5"/>
        <v>1782.5</v>
      </c>
      <c r="G10" s="51"/>
      <c r="H10" s="38">
        <f t="shared" si="4"/>
        <v>1782.5</v>
      </c>
      <c r="I10" s="46"/>
      <c r="J10" s="57"/>
      <c r="K10" s="58"/>
      <c r="L10" s="52"/>
      <c r="M10" s="52"/>
      <c r="N10" s="52" t="s">
        <v>52</v>
      </c>
      <c r="O10" s="10" t="s">
        <v>53</v>
      </c>
      <c r="P10" s="59"/>
      <c r="Q10" s="60">
        <v>1.2</v>
      </c>
      <c r="R10" s="54">
        <f>R9*Q10</f>
        <v>6.30343859250316</v>
      </c>
      <c r="S10" s="52"/>
      <c r="U10" s="9" t="s">
        <v>2</v>
      </c>
      <c r="V10" s="9" t="s">
        <v>3</v>
      </c>
      <c r="W10" s="10" t="s">
        <v>4</v>
      </c>
      <c r="X10" s="10" t="s">
        <v>5</v>
      </c>
      <c r="Y10" s="10" t="s">
        <v>6</v>
      </c>
      <c r="Z10" s="10" t="s">
        <v>7</v>
      </c>
      <c r="AA10" s="11" t="s">
        <v>8</v>
      </c>
      <c r="AB10" s="10" t="s">
        <v>9</v>
      </c>
      <c r="AC10" s="10" t="s">
        <v>10</v>
      </c>
      <c r="AD10" s="10" t="s">
        <v>11</v>
      </c>
    </row>
    <row r="11" s="2" customFormat="1" customHeight="1" spans="1:30">
      <c r="A11" s="44"/>
      <c r="B11" s="55"/>
      <c r="C11" s="34"/>
      <c r="D11" s="10">
        <v>10000</v>
      </c>
      <c r="E11" s="35">
        <f>0.24*1.15</f>
        <v>0.276</v>
      </c>
      <c r="F11" s="93">
        <f t="shared" si="5"/>
        <v>2760</v>
      </c>
      <c r="G11" s="56"/>
      <c r="H11" s="38">
        <f t="shared" si="4"/>
        <v>2760</v>
      </c>
      <c r="U11" s="14" t="s">
        <v>13</v>
      </c>
      <c r="V11" s="14"/>
      <c r="W11" s="15">
        <v>210</v>
      </c>
      <c r="X11" s="15">
        <v>39</v>
      </c>
      <c r="Y11" s="15">
        <v>54</v>
      </c>
      <c r="Z11" s="15">
        <v>4670</v>
      </c>
      <c r="AA11" s="16">
        <f t="shared" ref="AA11:AA16" si="6">10000/6+200</f>
        <v>1866.66666666667</v>
      </c>
      <c r="AB11" s="16">
        <f>W11*X11*Y11*Z11*AA11/10000000000</f>
        <v>385.532784</v>
      </c>
      <c r="AC11" s="17">
        <f t="shared" si="3"/>
        <v>0.0385532784</v>
      </c>
      <c r="AD11" s="18">
        <v>10000</v>
      </c>
    </row>
    <row r="12" s="2" customFormat="1" customHeight="1" spans="1:30">
      <c r="A12" s="44"/>
      <c r="B12" s="55"/>
      <c r="C12" s="34"/>
      <c r="D12" s="10">
        <v>25000</v>
      </c>
      <c r="E12" s="35">
        <f>0.2*1.15</f>
        <v>0.23</v>
      </c>
      <c r="F12" s="93">
        <f t="shared" si="5"/>
        <v>5750</v>
      </c>
      <c r="G12" s="56"/>
      <c r="H12" s="38">
        <f t="shared" si="4"/>
        <v>5750</v>
      </c>
      <c r="J12" s="9" t="s">
        <v>2</v>
      </c>
      <c r="K12" s="9" t="s">
        <v>3</v>
      </c>
      <c r="L12" s="10" t="s">
        <v>4</v>
      </c>
      <c r="M12" s="10" t="s">
        <v>5</v>
      </c>
      <c r="N12" s="10" t="s">
        <v>6</v>
      </c>
      <c r="O12" s="10" t="s">
        <v>7</v>
      </c>
      <c r="P12" s="11" t="s">
        <v>8</v>
      </c>
      <c r="Q12" s="10" t="s">
        <v>9</v>
      </c>
      <c r="R12" s="10" t="s">
        <v>10</v>
      </c>
      <c r="S12" s="10" t="s">
        <v>11</v>
      </c>
      <c r="U12" s="26" t="s">
        <v>69</v>
      </c>
      <c r="V12" s="26"/>
      <c r="W12" s="18">
        <v>1</v>
      </c>
      <c r="X12" s="15">
        <v>39</v>
      </c>
      <c r="Y12" s="15">
        <v>54</v>
      </c>
      <c r="Z12" s="18">
        <v>0.039</v>
      </c>
      <c r="AA12" s="16">
        <f t="shared" si="6"/>
        <v>1866.66666666667</v>
      </c>
      <c r="AB12" s="27">
        <f>W12*X12*Y12*Z12*AA12/1000</f>
        <v>153.3168</v>
      </c>
      <c r="AC12" s="28">
        <f t="shared" si="3"/>
        <v>0.01533168</v>
      </c>
      <c r="AD12" s="18">
        <v>10000</v>
      </c>
    </row>
    <row r="13" s="2" customFormat="1" customHeight="1" spans="1:30">
      <c r="A13" s="44"/>
      <c r="B13" s="49"/>
      <c r="C13" s="34"/>
      <c r="D13" s="10">
        <v>50000</v>
      </c>
      <c r="E13" s="35">
        <f>0.17*1.15</f>
        <v>0.1955</v>
      </c>
      <c r="F13" s="93">
        <f t="shared" si="5"/>
        <v>9775</v>
      </c>
      <c r="G13" s="37"/>
      <c r="H13" s="38">
        <f t="shared" si="4"/>
        <v>9775</v>
      </c>
      <c r="J13" s="14" t="s">
        <v>13</v>
      </c>
      <c r="K13" s="14"/>
      <c r="L13" s="15">
        <v>350</v>
      </c>
      <c r="M13" s="15">
        <v>71.1</v>
      </c>
      <c r="N13" s="15">
        <v>95</v>
      </c>
      <c r="O13" s="15">
        <v>3380</v>
      </c>
      <c r="P13" s="15">
        <f>834+206</f>
        <v>1040</v>
      </c>
      <c r="Q13" s="16">
        <f>L13*M13*N13*O13*P13/10000000000</f>
        <v>831.019644</v>
      </c>
      <c r="R13" s="17">
        <f t="shared" ref="R13:R19" si="7">Q13/S13</f>
        <v>0.996426431654676</v>
      </c>
      <c r="S13" s="18">
        <v>834</v>
      </c>
      <c r="U13" s="25" t="s">
        <v>71</v>
      </c>
      <c r="V13" s="26"/>
      <c r="W13" s="18"/>
      <c r="X13" s="15"/>
      <c r="Y13" s="15"/>
      <c r="Z13" s="18">
        <v>0.05</v>
      </c>
      <c r="AA13" s="16">
        <v>10100</v>
      </c>
      <c r="AB13" s="27">
        <f>Z13*AA13</f>
        <v>505</v>
      </c>
      <c r="AC13" s="28">
        <v>0.05</v>
      </c>
      <c r="AD13" s="18">
        <v>10000</v>
      </c>
    </row>
    <row r="14" s="1" customFormat="1" customHeight="1" spans="1:30">
      <c r="A14" s="61" t="s">
        <v>65</v>
      </c>
      <c r="B14" s="62"/>
      <c r="C14" s="62"/>
      <c r="D14" s="62"/>
      <c r="E14" s="62"/>
      <c r="F14" s="62"/>
      <c r="G14" s="62"/>
      <c r="H14" s="63"/>
      <c r="I14" s="64"/>
      <c r="J14" s="96" t="s">
        <v>68</v>
      </c>
      <c r="K14" s="40" t="s">
        <v>17</v>
      </c>
      <c r="L14" s="18">
        <v>1</v>
      </c>
      <c r="M14" s="15">
        <v>71.1</v>
      </c>
      <c r="N14" s="15">
        <v>95</v>
      </c>
      <c r="O14" s="18">
        <v>0.62</v>
      </c>
      <c r="P14" s="15">
        <f t="shared" ref="P14:P19" si="8">834+206</f>
        <v>1040</v>
      </c>
      <c r="Q14" s="41">
        <f>L14*M14/2.54*N14/2.54*O14*P14/1000</f>
        <v>675.073098146196</v>
      </c>
      <c r="R14" s="28">
        <f t="shared" si="7"/>
        <v>0.809440165642921</v>
      </c>
      <c r="S14" s="18">
        <v>834</v>
      </c>
      <c r="U14" s="40" t="s">
        <v>40</v>
      </c>
      <c r="V14" s="40"/>
      <c r="W14" s="18"/>
      <c r="X14" s="18"/>
      <c r="Y14" s="18"/>
      <c r="Z14" s="18"/>
      <c r="AA14" s="16">
        <f t="shared" si="6"/>
        <v>1866.66666666667</v>
      </c>
      <c r="AB14" s="41">
        <v>600</v>
      </c>
      <c r="AC14" s="28">
        <f t="shared" ref="AC14:AC16" si="9">AB14/AD14</f>
        <v>0.06</v>
      </c>
      <c r="AD14" s="18">
        <v>10000</v>
      </c>
    </row>
    <row r="15" s="1" customFormat="1" ht="68" customHeight="1" spans="1:30">
      <c r="A15" s="65" t="s">
        <v>66</v>
      </c>
      <c r="B15" s="65"/>
      <c r="C15" s="65"/>
      <c r="D15" s="65"/>
      <c r="E15" s="65"/>
      <c r="F15" s="65"/>
      <c r="G15" s="65"/>
      <c r="H15" s="63"/>
      <c r="I15" s="63"/>
      <c r="J15" s="26" t="s">
        <v>69</v>
      </c>
      <c r="K15" s="26"/>
      <c r="L15" s="18">
        <v>1</v>
      </c>
      <c r="M15" s="15">
        <v>71.1</v>
      </c>
      <c r="N15" s="15">
        <v>95</v>
      </c>
      <c r="O15" s="18">
        <v>0.039</v>
      </c>
      <c r="P15" s="15">
        <f t="shared" si="8"/>
        <v>1040</v>
      </c>
      <c r="Q15" s="27">
        <f>L15*M15*N15*O15*P15/1000</f>
        <v>273.96252</v>
      </c>
      <c r="R15" s="28">
        <f t="shared" si="7"/>
        <v>0.328492230215827</v>
      </c>
      <c r="S15" s="18">
        <v>834</v>
      </c>
      <c r="U15" s="43" t="s">
        <v>22</v>
      </c>
      <c r="V15" s="40"/>
      <c r="W15" s="18"/>
      <c r="X15" s="18"/>
      <c r="Y15" s="18"/>
      <c r="Z15" s="18"/>
      <c r="AA15" s="16">
        <f t="shared" si="6"/>
        <v>1866.66666666667</v>
      </c>
      <c r="AB15" s="41">
        <v>150</v>
      </c>
      <c r="AC15" s="28">
        <f t="shared" si="9"/>
        <v>0.015</v>
      </c>
      <c r="AD15" s="18">
        <v>10000</v>
      </c>
    </row>
    <row r="16" s="1" customFormat="1" customHeight="1" spans="1:30">
      <c r="C16" s="1" t="s">
        <v>80</v>
      </c>
      <c r="H16" s="3"/>
      <c r="I16" s="3"/>
      <c r="J16" s="26" t="s">
        <v>31</v>
      </c>
      <c r="K16" s="26"/>
      <c r="L16" s="18">
        <v>1</v>
      </c>
      <c r="M16" s="15">
        <v>71.1</v>
      </c>
      <c r="N16" s="15">
        <v>95</v>
      </c>
      <c r="O16" s="18">
        <v>0.028</v>
      </c>
      <c r="P16" s="15">
        <f t="shared" si="8"/>
        <v>1040</v>
      </c>
      <c r="Q16" s="27">
        <f>L16*M16*N16*O16*P16/1000</f>
        <v>196.69104</v>
      </c>
      <c r="R16" s="28">
        <f t="shared" si="7"/>
        <v>0.235840575539568</v>
      </c>
      <c r="S16" s="18">
        <v>834</v>
      </c>
      <c r="U16" s="14" t="s">
        <v>32</v>
      </c>
      <c r="V16" s="47" t="s">
        <v>33</v>
      </c>
      <c r="W16" s="15" t="s">
        <v>34</v>
      </c>
      <c r="X16" s="15"/>
      <c r="Y16" s="15" t="s">
        <v>35</v>
      </c>
      <c r="Z16" s="15">
        <v>0.1</v>
      </c>
      <c r="AA16" s="16">
        <f t="shared" si="6"/>
        <v>1866.66666666667</v>
      </c>
      <c r="AB16" s="16">
        <f>Z16*AA16</f>
        <v>186.666666666667</v>
      </c>
      <c r="AC16" s="17">
        <f t="shared" si="9"/>
        <v>0.0186666666666667</v>
      </c>
      <c r="AD16" s="18">
        <v>10000</v>
      </c>
    </row>
    <row r="17" s="1" customFormat="1" customHeight="1" spans="3:30">
      <c r="C17" s="1" t="s">
        <v>81</v>
      </c>
      <c r="H17" s="3"/>
      <c r="I17" s="3"/>
      <c r="J17" s="40" t="s">
        <v>40</v>
      </c>
      <c r="K17" s="40"/>
      <c r="L17" s="18"/>
      <c r="M17" s="18"/>
      <c r="N17" s="18"/>
      <c r="O17" s="18"/>
      <c r="P17" s="15">
        <f t="shared" si="8"/>
        <v>1040</v>
      </c>
      <c r="Q17" s="41">
        <v>800</v>
      </c>
      <c r="R17" s="28">
        <f t="shared" si="7"/>
        <v>0.959232613908873</v>
      </c>
      <c r="S17" s="18">
        <v>834</v>
      </c>
      <c r="U17" s="9" t="s">
        <v>48</v>
      </c>
      <c r="V17" s="9"/>
      <c r="W17" s="52"/>
      <c r="X17" s="52"/>
      <c r="Y17" s="52"/>
      <c r="Z17" s="52"/>
      <c r="AA17" s="52"/>
      <c r="AB17" s="53">
        <f>SUM(AB11:AB16)</f>
        <v>1980.51625066667</v>
      </c>
      <c r="AC17" s="54">
        <f>SUM(AC11:AC16)</f>
        <v>0.197551625066667</v>
      </c>
      <c r="AD17" s="18">
        <v>10000</v>
      </c>
    </row>
    <row r="18" s="1" customFormat="1" customHeight="1" spans="3:30">
      <c r="H18" s="3"/>
      <c r="I18" s="3"/>
      <c r="J18" s="43" t="s">
        <v>22</v>
      </c>
      <c r="K18" s="40"/>
      <c r="L18" s="18"/>
      <c r="M18" s="18"/>
      <c r="N18" s="18"/>
      <c r="O18" s="18"/>
      <c r="P18" s="15">
        <f t="shared" si="8"/>
        <v>1040</v>
      </c>
      <c r="Q18" s="41">
        <v>250</v>
      </c>
      <c r="R18" s="28">
        <f t="shared" si="7"/>
        <v>0.299760191846523</v>
      </c>
      <c r="S18" s="18">
        <v>834</v>
      </c>
      <c r="U18" s="57"/>
      <c r="V18" s="58"/>
      <c r="W18" s="52"/>
      <c r="X18" s="52"/>
      <c r="Y18" s="52" t="s">
        <v>52</v>
      </c>
      <c r="Z18" s="10" t="s">
        <v>53</v>
      </c>
      <c r="AA18" s="59"/>
      <c r="AB18" s="60">
        <v>1.2</v>
      </c>
      <c r="AC18" s="54">
        <f>AC17*AB18</f>
        <v>0.23706195008</v>
      </c>
      <c r="AD18" s="52"/>
    </row>
    <row r="19" s="1" customFormat="1" customHeight="1" spans="3:30">
      <c r="H19" s="3"/>
      <c r="I19" s="3"/>
      <c r="J19" s="14" t="s">
        <v>32</v>
      </c>
      <c r="K19" s="47" t="s">
        <v>33</v>
      </c>
      <c r="L19" s="15" t="s">
        <v>34</v>
      </c>
      <c r="M19" s="15"/>
      <c r="N19" s="15" t="s">
        <v>35</v>
      </c>
      <c r="O19" s="15">
        <v>0.1</v>
      </c>
      <c r="P19" s="15">
        <f t="shared" si="8"/>
        <v>1040</v>
      </c>
      <c r="Q19" s="16">
        <f>O19*P19</f>
        <v>104</v>
      </c>
      <c r="R19" s="17">
        <f t="shared" si="7"/>
        <v>0.124700239808153</v>
      </c>
      <c r="S19" s="18">
        <v>834</v>
      </c>
      <c r="U19" s="9" t="s">
        <v>2</v>
      </c>
      <c r="V19" s="9" t="s">
        <v>3</v>
      </c>
      <c r="W19" s="10" t="s">
        <v>4</v>
      </c>
      <c r="X19" s="10" t="s">
        <v>5</v>
      </c>
      <c r="Y19" s="10" t="s">
        <v>6</v>
      </c>
      <c r="Z19" s="10" t="s">
        <v>7</v>
      </c>
      <c r="AA19" s="11" t="s">
        <v>8</v>
      </c>
      <c r="AB19" s="10" t="s">
        <v>9</v>
      </c>
      <c r="AC19" s="10" t="s">
        <v>10</v>
      </c>
      <c r="AD19" s="10" t="s">
        <v>11</v>
      </c>
    </row>
    <row r="20" s="1" customFormat="1" customHeight="1" spans="3:30">
      <c r="H20" s="3"/>
      <c r="I20" s="3"/>
      <c r="J20" s="9" t="s">
        <v>48</v>
      </c>
      <c r="K20" s="9"/>
      <c r="L20" s="52"/>
      <c r="M20" s="52"/>
      <c r="N20" s="52"/>
      <c r="O20" s="52"/>
      <c r="P20" s="52"/>
      <c r="Q20" s="53">
        <f>SUM(Q13:Q19)</f>
        <v>3130.7463021462</v>
      </c>
      <c r="R20" s="54">
        <f>SUM(R13:R19)</f>
        <v>3.75389244861654</v>
      </c>
      <c r="S20" s="18">
        <v>834</v>
      </c>
      <c r="U20" s="14" t="s">
        <v>13</v>
      </c>
      <c r="V20" s="14"/>
      <c r="W20" s="15">
        <v>210</v>
      </c>
      <c r="X20" s="15">
        <v>39</v>
      </c>
      <c r="Y20" s="15">
        <v>54</v>
      </c>
      <c r="Z20" s="15">
        <v>4670</v>
      </c>
      <c r="AA20" s="16">
        <f t="shared" ref="AA20:AA25" si="10">25000/6+300</f>
        <v>4466.66666666667</v>
      </c>
      <c r="AB20" s="16">
        <f>W20*X20*Y20*Z20*AA20/10000000000</f>
        <v>922.524876</v>
      </c>
      <c r="AC20" s="17">
        <f t="shared" ref="AC20:AC25" si="11">AB20/AD20</f>
        <v>0.03690099504</v>
      </c>
      <c r="AD20" s="18">
        <v>25000</v>
      </c>
    </row>
    <row r="21" s="1" customFormat="1" customHeight="1" spans="3:30">
      <c r="H21" s="3"/>
      <c r="I21" s="3"/>
      <c r="J21" s="57"/>
      <c r="K21" s="58"/>
      <c r="L21" s="52"/>
      <c r="M21" s="52"/>
      <c r="N21" s="52" t="s">
        <v>52</v>
      </c>
      <c r="O21" s="10" t="s">
        <v>53</v>
      </c>
      <c r="P21" s="59"/>
      <c r="Q21" s="60">
        <v>1.2</v>
      </c>
      <c r="R21" s="54">
        <f>R20*Q21</f>
        <v>4.50467093833985</v>
      </c>
      <c r="S21" s="52"/>
      <c r="U21" s="26" t="s">
        <v>69</v>
      </c>
      <c r="V21" s="26"/>
      <c r="W21" s="18">
        <v>1</v>
      </c>
      <c r="X21" s="15">
        <v>39</v>
      </c>
      <c r="Y21" s="15">
        <v>54</v>
      </c>
      <c r="Z21" s="18">
        <v>0.039</v>
      </c>
      <c r="AA21" s="16">
        <f t="shared" si="10"/>
        <v>4466.66666666667</v>
      </c>
      <c r="AB21" s="27">
        <f>W21*X21*Y21*Z21*AA21/1000</f>
        <v>366.8652</v>
      </c>
      <c r="AC21" s="28">
        <f t="shared" si="11"/>
        <v>0.014674608</v>
      </c>
      <c r="AD21" s="18">
        <v>25000</v>
      </c>
    </row>
    <row r="22" s="1" customFormat="1" customHeight="1" spans="3:30">
      <c r="H22" s="3"/>
      <c r="I22" s="3"/>
      <c r="J22" s="81"/>
      <c r="K22" s="81"/>
      <c r="L22" s="76"/>
      <c r="M22" s="76"/>
      <c r="N22" s="76"/>
      <c r="O22" s="76"/>
      <c r="P22" s="73"/>
      <c r="Q22" s="84"/>
      <c r="R22" s="80"/>
      <c r="S22" s="76"/>
      <c r="U22" s="25" t="s">
        <v>71</v>
      </c>
      <c r="V22" s="26"/>
      <c r="W22" s="18"/>
      <c r="X22" s="15"/>
      <c r="Y22" s="15"/>
      <c r="Z22" s="18">
        <v>0.05</v>
      </c>
      <c r="AA22" s="16">
        <v>25200</v>
      </c>
      <c r="AB22" s="27">
        <f>Z22*AA22</f>
        <v>1260</v>
      </c>
      <c r="AC22" s="28">
        <v>0.05</v>
      </c>
      <c r="AD22" s="18">
        <v>25000</v>
      </c>
    </row>
    <row r="23" s="1" customFormat="1" customHeight="1" spans="3:30">
      <c r="H23" s="3"/>
      <c r="I23" s="3"/>
      <c r="J23" s="9" t="s">
        <v>2</v>
      </c>
      <c r="K23" s="9" t="s">
        <v>3</v>
      </c>
      <c r="L23" s="10" t="s">
        <v>4</v>
      </c>
      <c r="M23" s="10" t="s">
        <v>5</v>
      </c>
      <c r="N23" s="10" t="s">
        <v>6</v>
      </c>
      <c r="O23" s="10" t="s">
        <v>7</v>
      </c>
      <c r="P23" s="11" t="s">
        <v>8</v>
      </c>
      <c r="Q23" s="10" t="s">
        <v>9</v>
      </c>
      <c r="R23" s="10" t="s">
        <v>10</v>
      </c>
      <c r="S23" s="10" t="s">
        <v>11</v>
      </c>
      <c r="U23" s="40" t="s">
        <v>40</v>
      </c>
      <c r="V23" s="40"/>
      <c r="W23" s="18"/>
      <c r="X23" s="18"/>
      <c r="Y23" s="18"/>
      <c r="Z23" s="18"/>
      <c r="AA23" s="16">
        <f t="shared" si="10"/>
        <v>4466.66666666667</v>
      </c>
      <c r="AB23" s="41">
        <f>400+4467*0.12</f>
        <v>936.04</v>
      </c>
      <c r="AC23" s="28">
        <f t="shared" si="11"/>
        <v>0.0374416</v>
      </c>
      <c r="AD23" s="18">
        <v>25000</v>
      </c>
    </row>
    <row r="24" s="1" customFormat="1" customHeight="1" spans="3:30">
      <c r="H24" s="3"/>
      <c r="I24" s="3"/>
      <c r="J24" s="14" t="s">
        <v>13</v>
      </c>
      <c r="K24" s="14"/>
      <c r="L24" s="15">
        <v>350</v>
      </c>
      <c r="M24" s="15">
        <v>71.1</v>
      </c>
      <c r="N24" s="15">
        <v>95</v>
      </c>
      <c r="O24" s="15">
        <v>3380</v>
      </c>
      <c r="P24" s="15">
        <f>2084+226</f>
        <v>2310</v>
      </c>
      <c r="Q24" s="16">
        <f>L24*M24*N24*O24*P24/10000000000</f>
        <v>1845.8224785</v>
      </c>
      <c r="R24" s="17">
        <f t="shared" ref="R24:R30" si="12">Q24/S24</f>
        <v>0.885711362044146</v>
      </c>
      <c r="S24" s="18">
        <v>2084</v>
      </c>
      <c r="U24" s="43" t="s">
        <v>22</v>
      </c>
      <c r="V24" s="40"/>
      <c r="W24" s="18"/>
      <c r="X24" s="18"/>
      <c r="Y24" s="18"/>
      <c r="Z24" s="18"/>
      <c r="AA24" s="16">
        <f t="shared" si="10"/>
        <v>4466.66666666667</v>
      </c>
      <c r="AB24" s="41">
        <v>150</v>
      </c>
      <c r="AC24" s="28">
        <f t="shared" si="11"/>
        <v>0.006</v>
      </c>
      <c r="AD24" s="18">
        <v>25000</v>
      </c>
    </row>
    <row r="25" s="1" customFormat="1" customHeight="1" spans="3:30">
      <c r="H25" s="3"/>
      <c r="I25" s="3"/>
      <c r="J25" s="96" t="s">
        <v>68</v>
      </c>
      <c r="K25" s="40" t="s">
        <v>17</v>
      </c>
      <c r="L25" s="18">
        <v>1</v>
      </c>
      <c r="M25" s="15">
        <v>71.1</v>
      </c>
      <c r="N25" s="15">
        <v>95</v>
      </c>
      <c r="O25" s="18">
        <v>0.62</v>
      </c>
      <c r="P25" s="15">
        <f t="shared" ref="P25:P30" si="13">2084+226</f>
        <v>2310</v>
      </c>
      <c r="Q25" s="41">
        <f>L25*M25/2.54*N25/2.54*O25*P25/1000</f>
        <v>1499.44120838242</v>
      </c>
      <c r="R25" s="28">
        <f t="shared" si="12"/>
        <v>0.71950153953091</v>
      </c>
      <c r="S25" s="18">
        <v>2084</v>
      </c>
      <c r="U25" s="14" t="s">
        <v>32</v>
      </c>
      <c r="V25" s="47" t="s">
        <v>33</v>
      </c>
      <c r="W25" s="15" t="s">
        <v>34</v>
      </c>
      <c r="X25" s="15"/>
      <c r="Y25" s="15" t="s">
        <v>35</v>
      </c>
      <c r="Z25" s="15">
        <v>0.1</v>
      </c>
      <c r="AA25" s="16">
        <f t="shared" si="10"/>
        <v>4466.66666666667</v>
      </c>
      <c r="AB25" s="16">
        <f>Z25*AA25</f>
        <v>446.666666666667</v>
      </c>
      <c r="AC25" s="17">
        <f t="shared" si="11"/>
        <v>0.0178666666666667</v>
      </c>
      <c r="AD25" s="18">
        <v>25000</v>
      </c>
    </row>
    <row r="26" s="1" customFormat="1" customHeight="1" spans="3:30">
      <c r="H26" s="3"/>
      <c r="I26" s="3"/>
      <c r="J26" s="26" t="s">
        <v>69</v>
      </c>
      <c r="K26" s="26"/>
      <c r="L26" s="18">
        <v>1</v>
      </c>
      <c r="M26" s="15">
        <v>71.1</v>
      </c>
      <c r="N26" s="15">
        <v>95</v>
      </c>
      <c r="O26" s="18">
        <v>0.039</v>
      </c>
      <c r="P26" s="15">
        <f t="shared" si="13"/>
        <v>2310</v>
      </c>
      <c r="Q26" s="27">
        <f>L26*M26*N26*O26*P26/1000</f>
        <v>608.512905</v>
      </c>
      <c r="R26" s="28">
        <f t="shared" si="12"/>
        <v>0.29199275671785</v>
      </c>
      <c r="S26" s="18">
        <v>2084</v>
      </c>
      <c r="U26" s="9" t="s">
        <v>48</v>
      </c>
      <c r="V26" s="9"/>
      <c r="W26" s="52"/>
      <c r="X26" s="52"/>
      <c r="Y26" s="52"/>
      <c r="Z26" s="52"/>
      <c r="AA26" s="52"/>
      <c r="AB26" s="53">
        <f>SUM(AB20:AB25)</f>
        <v>4082.09674266667</v>
      </c>
      <c r="AC26" s="54">
        <f>SUM(AC20:AC25)</f>
        <v>0.162883869706667</v>
      </c>
      <c r="AD26" s="18">
        <v>25000</v>
      </c>
    </row>
    <row r="27" s="1" customFormat="1" customHeight="1" spans="3:30">
      <c r="H27" s="3"/>
      <c r="I27" s="3"/>
      <c r="J27" s="26" t="s">
        <v>31</v>
      </c>
      <c r="K27" s="26"/>
      <c r="L27" s="18">
        <v>1</v>
      </c>
      <c r="M27" s="15">
        <v>71.1</v>
      </c>
      <c r="N27" s="15">
        <v>95</v>
      </c>
      <c r="O27" s="18">
        <v>0.028</v>
      </c>
      <c r="P27" s="15">
        <f t="shared" si="13"/>
        <v>2310</v>
      </c>
      <c r="Q27" s="27">
        <f>L27*M27*N27*O27*P27/1000</f>
        <v>436.88106</v>
      </c>
      <c r="R27" s="28">
        <f t="shared" si="12"/>
        <v>0.209635825335892</v>
      </c>
      <c r="S27" s="18">
        <v>2084</v>
      </c>
      <c r="U27" s="57"/>
      <c r="V27" s="58"/>
      <c r="W27" s="52"/>
      <c r="X27" s="52"/>
      <c r="Y27" s="52" t="s">
        <v>52</v>
      </c>
      <c r="Z27" s="10" t="s">
        <v>53</v>
      </c>
      <c r="AA27" s="59"/>
      <c r="AB27" s="60">
        <v>1.2</v>
      </c>
      <c r="AC27" s="54">
        <f>AC26*AB27</f>
        <v>0.195460643648</v>
      </c>
      <c r="AD27" s="52"/>
    </row>
    <row r="28" s="1" customFormat="1" customHeight="1" spans="3:30">
      <c r="H28" s="3"/>
      <c r="I28" s="3"/>
      <c r="J28" s="40" t="s">
        <v>40</v>
      </c>
      <c r="K28" s="40"/>
      <c r="L28" s="18"/>
      <c r="M28" s="18"/>
      <c r="N28" s="18"/>
      <c r="O28" s="18"/>
      <c r="P28" s="15">
        <f t="shared" si="13"/>
        <v>2310</v>
      </c>
      <c r="Q28" s="41">
        <v>900</v>
      </c>
      <c r="R28" s="28">
        <f t="shared" si="12"/>
        <v>0.431861804222649</v>
      </c>
      <c r="S28" s="18">
        <v>2084</v>
      </c>
      <c r="U28" s="9" t="s">
        <v>2</v>
      </c>
      <c r="V28" s="9" t="s">
        <v>3</v>
      </c>
      <c r="W28" s="10" t="s">
        <v>4</v>
      </c>
      <c r="X28" s="10" t="s">
        <v>5</v>
      </c>
      <c r="Y28" s="10" t="s">
        <v>6</v>
      </c>
      <c r="Z28" s="10" t="s">
        <v>7</v>
      </c>
      <c r="AA28" s="11" t="s">
        <v>8</v>
      </c>
      <c r="AB28" s="10" t="s">
        <v>9</v>
      </c>
      <c r="AC28" s="10" t="s">
        <v>10</v>
      </c>
      <c r="AD28" s="10" t="s">
        <v>11</v>
      </c>
    </row>
    <row r="29" s="1" customFormat="1" customHeight="1" spans="3:30">
      <c r="H29" s="3"/>
      <c r="I29" s="3"/>
      <c r="J29" s="43" t="s">
        <v>22</v>
      </c>
      <c r="K29" s="40"/>
      <c r="L29" s="18"/>
      <c r="M29" s="18"/>
      <c r="N29" s="18"/>
      <c r="O29" s="18"/>
      <c r="P29" s="15">
        <f t="shared" si="13"/>
        <v>2310</v>
      </c>
      <c r="Q29" s="41">
        <v>250</v>
      </c>
      <c r="R29" s="28">
        <f t="shared" si="12"/>
        <v>0.119961612284069</v>
      </c>
      <c r="S29" s="18">
        <v>2084</v>
      </c>
      <c r="U29" s="14" t="s">
        <v>13</v>
      </c>
      <c r="V29" s="14"/>
      <c r="W29" s="15">
        <v>210</v>
      </c>
      <c r="X29" s="15">
        <v>39</v>
      </c>
      <c r="Y29" s="15">
        <v>54</v>
      </c>
      <c r="Z29" s="15">
        <v>4670</v>
      </c>
      <c r="AA29" s="16">
        <f t="shared" ref="AA29:AA34" si="14">50000/6+500</f>
        <v>8833.33333333333</v>
      </c>
      <c r="AB29" s="16">
        <f>W29*X29*Y29*Z29*AA29/10000000000</f>
        <v>1824.39621</v>
      </c>
      <c r="AC29" s="17">
        <f t="shared" ref="AC29:AC34" si="15">AB29/AD29</f>
        <v>0.0364879242</v>
      </c>
      <c r="AD29" s="18">
        <v>50000</v>
      </c>
    </row>
    <row r="30" s="1" customFormat="1" customHeight="1" spans="3:30">
      <c r="H30" s="3"/>
      <c r="I30" s="3"/>
      <c r="J30" s="14" t="s">
        <v>32</v>
      </c>
      <c r="K30" s="47" t="s">
        <v>33</v>
      </c>
      <c r="L30" s="15" t="s">
        <v>34</v>
      </c>
      <c r="M30" s="15"/>
      <c r="N30" s="15" t="s">
        <v>35</v>
      </c>
      <c r="O30" s="15">
        <v>0.1</v>
      </c>
      <c r="P30" s="15">
        <f t="shared" si="13"/>
        <v>2310</v>
      </c>
      <c r="Q30" s="16">
        <f>O30*P30</f>
        <v>231</v>
      </c>
      <c r="R30" s="17">
        <f t="shared" si="12"/>
        <v>0.11084452975048</v>
      </c>
      <c r="S30" s="18">
        <v>2084</v>
      </c>
      <c r="U30" s="26" t="s">
        <v>69</v>
      </c>
      <c r="V30" s="26"/>
      <c r="W30" s="18">
        <v>1</v>
      </c>
      <c r="X30" s="15">
        <v>39</v>
      </c>
      <c r="Y30" s="15">
        <v>54</v>
      </c>
      <c r="Z30" s="18">
        <v>0.039</v>
      </c>
      <c r="AA30" s="16">
        <f t="shared" si="14"/>
        <v>8833.33333333333</v>
      </c>
      <c r="AB30" s="27">
        <f>W30*X30*Y30*Z30*AA30/1000</f>
        <v>725.517</v>
      </c>
      <c r="AC30" s="28">
        <f t="shared" si="15"/>
        <v>0.01451034</v>
      </c>
      <c r="AD30" s="18">
        <v>50000</v>
      </c>
    </row>
    <row r="31" s="1" customFormat="1" customHeight="1" spans="3:30">
      <c r="H31" s="3"/>
      <c r="I31" s="3"/>
      <c r="J31" s="9" t="s">
        <v>48</v>
      </c>
      <c r="K31" s="9"/>
      <c r="L31" s="52"/>
      <c r="M31" s="52"/>
      <c r="N31" s="52"/>
      <c r="O31" s="52"/>
      <c r="P31" s="52"/>
      <c r="Q31" s="53">
        <f>SUM(Q24:Q30)</f>
        <v>5771.65765188242</v>
      </c>
      <c r="R31" s="54">
        <f>SUM(R24:R30)</f>
        <v>2.769509429886</v>
      </c>
      <c r="S31" s="18">
        <v>2084</v>
      </c>
      <c r="U31" s="25" t="s">
        <v>71</v>
      </c>
      <c r="V31" s="26"/>
      <c r="W31" s="18"/>
      <c r="X31" s="15"/>
      <c r="Y31" s="15"/>
      <c r="Z31" s="18">
        <v>0.05</v>
      </c>
      <c r="AA31" s="16">
        <v>25200</v>
      </c>
      <c r="AB31" s="27">
        <f>Z31*AA31</f>
        <v>1260</v>
      </c>
      <c r="AC31" s="28">
        <v>0.05</v>
      </c>
      <c r="AD31" s="18">
        <v>50000</v>
      </c>
    </row>
    <row r="32" s="1" customFormat="1" customHeight="1" spans="3:30">
      <c r="H32" s="3"/>
      <c r="I32" s="3"/>
      <c r="J32" s="57"/>
      <c r="K32" s="58"/>
      <c r="L32" s="52"/>
      <c r="M32" s="52"/>
      <c r="N32" s="52" t="s">
        <v>52</v>
      </c>
      <c r="O32" s="10" t="s">
        <v>53</v>
      </c>
      <c r="P32" s="59"/>
      <c r="Q32" s="60">
        <v>1.2</v>
      </c>
      <c r="R32" s="54">
        <f>R31*Q32</f>
        <v>3.3234113158632</v>
      </c>
      <c r="S32" s="52"/>
      <c r="U32" s="40" t="s">
        <v>40</v>
      </c>
      <c r="V32" s="40"/>
      <c r="W32" s="18"/>
      <c r="X32" s="18"/>
      <c r="Y32" s="18"/>
      <c r="Z32" s="18"/>
      <c r="AA32" s="16">
        <f t="shared" si="14"/>
        <v>8833.33333333333</v>
      </c>
      <c r="AB32" s="41">
        <f>8833*0.13</f>
        <v>1148.29</v>
      </c>
      <c r="AC32" s="28">
        <f t="shared" si="15"/>
        <v>0.0229658</v>
      </c>
      <c r="AD32" s="18">
        <v>50000</v>
      </c>
    </row>
    <row r="33" s="1" customFormat="1" customHeight="1" spans="8:30">
      <c r="H33" s="3"/>
      <c r="I33" s="3"/>
      <c r="U33" s="43" t="s">
        <v>22</v>
      </c>
      <c r="V33" s="40"/>
      <c r="W33" s="18"/>
      <c r="X33" s="18"/>
      <c r="Y33" s="18"/>
      <c r="Z33" s="18"/>
      <c r="AA33" s="16">
        <f t="shared" si="14"/>
        <v>8833.33333333333</v>
      </c>
      <c r="AB33" s="41">
        <v>150</v>
      </c>
      <c r="AC33" s="28">
        <f t="shared" si="15"/>
        <v>0.003</v>
      </c>
      <c r="AD33" s="18">
        <v>50000</v>
      </c>
    </row>
    <row r="34" s="1" customFormat="1" customHeight="1" spans="8:30">
      <c r="H34" s="3"/>
      <c r="I34" s="3"/>
      <c r="J34" s="9" t="s">
        <v>2</v>
      </c>
      <c r="K34" s="9" t="s">
        <v>3</v>
      </c>
      <c r="L34" s="10" t="s">
        <v>4</v>
      </c>
      <c r="M34" s="10" t="s">
        <v>5</v>
      </c>
      <c r="N34" s="10" t="s">
        <v>6</v>
      </c>
      <c r="O34" s="10" t="s">
        <v>7</v>
      </c>
      <c r="P34" s="11" t="s">
        <v>8</v>
      </c>
      <c r="Q34" s="10" t="s">
        <v>9</v>
      </c>
      <c r="R34" s="10" t="s">
        <v>10</v>
      </c>
      <c r="S34" s="10" t="s">
        <v>11</v>
      </c>
      <c r="U34" s="14" t="s">
        <v>32</v>
      </c>
      <c r="V34" s="47" t="s">
        <v>33</v>
      </c>
      <c r="W34" s="15" t="s">
        <v>34</v>
      </c>
      <c r="X34" s="15"/>
      <c r="Y34" s="15" t="s">
        <v>35</v>
      </c>
      <c r="Z34" s="15">
        <v>0.1</v>
      </c>
      <c r="AA34" s="16">
        <f t="shared" si="14"/>
        <v>8833.33333333333</v>
      </c>
      <c r="AB34" s="16">
        <f>Z34*AA34</f>
        <v>883.333333333333</v>
      </c>
      <c r="AC34" s="17">
        <f t="shared" si="15"/>
        <v>0.0176666666666667</v>
      </c>
      <c r="AD34" s="18">
        <v>50000</v>
      </c>
    </row>
    <row r="35" customHeight="1" spans="8:30">
      <c r="J35" s="14" t="s">
        <v>13</v>
      </c>
      <c r="K35" s="14"/>
      <c r="L35" s="15">
        <v>350</v>
      </c>
      <c r="M35" s="15">
        <v>71.1</v>
      </c>
      <c r="N35" s="15">
        <v>95</v>
      </c>
      <c r="O35" s="15">
        <v>3380</v>
      </c>
      <c r="P35" s="15">
        <f>4167+303</f>
        <v>4470</v>
      </c>
      <c r="Q35" s="16">
        <f>L35*M35*N35*O35*P35/10000000000</f>
        <v>3571.7863545</v>
      </c>
      <c r="R35" s="17">
        <f t="shared" ref="R35:R41" si="16">Q35/S35</f>
        <v>0.857160152267818</v>
      </c>
      <c r="S35" s="18">
        <v>4167</v>
      </c>
      <c r="U35" s="9" t="s">
        <v>48</v>
      </c>
      <c r="V35" s="9"/>
      <c r="W35" s="52"/>
      <c r="X35" s="52"/>
      <c r="Y35" s="52"/>
      <c r="Z35" s="52"/>
      <c r="AA35" s="52"/>
      <c r="AB35" s="53">
        <f>SUM(AB29:AB34)</f>
        <v>5991.53654333333</v>
      </c>
      <c r="AC35" s="54">
        <f>SUM(AC29:AC34)</f>
        <v>0.144630730866667</v>
      </c>
      <c r="AD35" s="18">
        <v>50000</v>
      </c>
    </row>
    <row r="36" customHeight="1" spans="8:30">
      <c r="J36" s="96" t="s">
        <v>68</v>
      </c>
      <c r="K36" s="40" t="s">
        <v>17</v>
      </c>
      <c r="L36" s="18">
        <v>1</v>
      </c>
      <c r="M36" s="15">
        <v>71.1</v>
      </c>
      <c r="N36" s="15">
        <v>95</v>
      </c>
      <c r="O36" s="18">
        <v>0.62</v>
      </c>
      <c r="P36" s="15">
        <f t="shared" ref="P36:P41" si="17">4167+303</f>
        <v>4470</v>
      </c>
      <c r="Q36" s="41">
        <f>L36*M36/2.54*N36/2.54*O36*P36/1000</f>
        <v>2901.51610453221</v>
      </c>
      <c r="R36" s="28">
        <f t="shared" si="16"/>
        <v>0.696308160434895</v>
      </c>
      <c r="S36" s="18">
        <v>4167</v>
      </c>
      <c r="U36" s="57"/>
      <c r="V36" s="58"/>
      <c r="W36" s="52"/>
      <c r="X36" s="52"/>
      <c r="Y36" s="52" t="s">
        <v>52</v>
      </c>
      <c r="Z36" s="10" t="s">
        <v>53</v>
      </c>
      <c r="AA36" s="59"/>
      <c r="AB36" s="60">
        <v>1.2</v>
      </c>
      <c r="AC36" s="54">
        <f>AC35*AB36</f>
        <v>0.17355687704</v>
      </c>
      <c r="AD36" s="52"/>
    </row>
    <row r="37" customHeight="1" spans="8:30">
      <c r="J37" s="26" t="s">
        <v>69</v>
      </c>
      <c r="K37" s="26"/>
      <c r="L37" s="18">
        <v>1</v>
      </c>
      <c r="M37" s="15">
        <v>71.1</v>
      </c>
      <c r="N37" s="15">
        <v>95</v>
      </c>
      <c r="O37" s="18">
        <v>0.039</v>
      </c>
      <c r="P37" s="15">
        <f t="shared" si="17"/>
        <v>4470</v>
      </c>
      <c r="Q37" s="27">
        <f>L37*M37*N37*O37*P37/1000</f>
        <v>1177.511985</v>
      </c>
      <c r="R37" s="28">
        <f t="shared" si="16"/>
        <v>0.282580269978402</v>
      </c>
      <c r="S37" s="18">
        <v>4167</v>
      </c>
    </row>
    <row r="38" customHeight="1" spans="8:30">
      <c r="J38" s="26" t="s">
        <v>31</v>
      </c>
      <c r="K38" s="26"/>
      <c r="L38" s="18">
        <v>1</v>
      </c>
      <c r="M38" s="15">
        <v>71.1</v>
      </c>
      <c r="N38" s="15">
        <v>95</v>
      </c>
      <c r="O38" s="18">
        <v>0.028</v>
      </c>
      <c r="P38" s="15">
        <f t="shared" si="17"/>
        <v>4470</v>
      </c>
      <c r="Q38" s="27">
        <f>L38*M38*N38*O38*P38/1000</f>
        <v>845.39322</v>
      </c>
      <c r="R38" s="28">
        <f t="shared" si="16"/>
        <v>0.202878142548596</v>
      </c>
      <c r="S38" s="18">
        <v>4167</v>
      </c>
    </row>
    <row r="39" customHeight="1" spans="8:30">
      <c r="J39" s="40" t="s">
        <v>40</v>
      </c>
      <c r="K39" s="40"/>
      <c r="L39" s="18"/>
      <c r="M39" s="18"/>
      <c r="N39" s="18"/>
      <c r="O39" s="18"/>
      <c r="P39" s="15">
        <f t="shared" si="17"/>
        <v>4470</v>
      </c>
      <c r="Q39" s="41">
        <f>600+(4470*0.13)</f>
        <v>1181.1</v>
      </c>
      <c r="R39" s="28">
        <f t="shared" si="16"/>
        <v>0.283441324694024</v>
      </c>
      <c r="S39" s="18">
        <v>4167</v>
      </c>
    </row>
    <row r="40" customHeight="1" spans="8:30">
      <c r="J40" s="43" t="s">
        <v>22</v>
      </c>
      <c r="K40" s="40"/>
      <c r="L40" s="18"/>
      <c r="M40" s="18"/>
      <c r="N40" s="18"/>
      <c r="O40" s="18"/>
      <c r="P40" s="15">
        <f t="shared" si="17"/>
        <v>4470</v>
      </c>
      <c r="Q40" s="41">
        <v>250</v>
      </c>
      <c r="R40" s="28">
        <f t="shared" si="16"/>
        <v>0.0599952003839693</v>
      </c>
      <c r="S40" s="18">
        <v>4167</v>
      </c>
    </row>
    <row r="41" customHeight="1" spans="8:30">
      <c r="J41" s="14" t="s">
        <v>32</v>
      </c>
      <c r="K41" s="47" t="s">
        <v>33</v>
      </c>
      <c r="L41" s="15" t="s">
        <v>34</v>
      </c>
      <c r="M41" s="15"/>
      <c r="N41" s="15" t="s">
        <v>35</v>
      </c>
      <c r="O41" s="15">
        <v>0.1</v>
      </c>
      <c r="P41" s="15">
        <f t="shared" si="17"/>
        <v>4470</v>
      </c>
      <c r="Q41" s="16">
        <f>O41*P41</f>
        <v>447</v>
      </c>
      <c r="R41" s="17">
        <f t="shared" si="16"/>
        <v>0.107271418286537</v>
      </c>
      <c r="S41" s="18">
        <v>4167</v>
      </c>
    </row>
    <row r="42" customHeight="1" spans="8:30">
      <c r="J42" s="9" t="s">
        <v>48</v>
      </c>
      <c r="K42" s="9"/>
      <c r="L42" s="52"/>
      <c r="M42" s="52"/>
      <c r="N42" s="52"/>
      <c r="O42" s="52"/>
      <c r="P42" s="52"/>
      <c r="Q42" s="53">
        <f>SUM(Q35:Q41)</f>
        <v>10374.3076640322</v>
      </c>
      <c r="R42" s="54">
        <f>SUM(R35:R41)</f>
        <v>2.48963466859424</v>
      </c>
      <c r="S42" s="18">
        <v>4167</v>
      </c>
    </row>
    <row r="43" customHeight="1" spans="8:30">
      <c r="J43" s="57"/>
      <c r="K43" s="58"/>
      <c r="L43" s="52"/>
      <c r="M43" s="52"/>
      <c r="N43" s="52" t="s">
        <v>52</v>
      </c>
      <c r="O43" s="10" t="s">
        <v>53</v>
      </c>
      <c r="P43" s="59"/>
      <c r="Q43" s="60">
        <v>1.2</v>
      </c>
      <c r="R43" s="54">
        <f>R42*Q43</f>
        <v>2.98756160231309</v>
      </c>
      <c r="S43" s="52"/>
    </row>
  </sheetData>
  <mergeCells count="5">
    <mergeCell ref="A1:F1"/>
    <mergeCell ref="A2:G2"/>
    <mergeCell ref="A3:G3"/>
    <mergeCell ref="A14:G14"/>
    <mergeCell ref="A15:G15"/>
  </mergeCells>
  <pageMargins left="0.75" right="0.75" top="1" bottom="1" header="0.5" footer="0.5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3"/>
  <sheetViews>
    <sheetView workbookViewId="0">
      <selection activeCell="A1" sqref="$A1:$XFD1048576"/>
    </sheetView>
  </sheetViews>
  <sheetFormatPr defaultColWidth="9" defaultRowHeight="41" customHeight="1"/>
  <cols>
    <col min="1" max="1" width="12.625" style="1" customWidth="1"/>
    <col min="2" max="2" width="14.35" style="1" customWidth="1"/>
    <col min="3" max="3" width="19.25" style="1" customWidth="1"/>
    <col min="4" max="4" width="8.09166666666667" style="1" customWidth="1"/>
    <col min="5" max="5" width="9.25833333333333" style="1" customWidth="1"/>
    <col min="6" max="6" width="10.4333333333333" style="1" customWidth="1"/>
    <col min="7" max="7" width="12.875" style="1" customWidth="1"/>
    <col min="8" max="8" width="6.4" style="3" customWidth="1"/>
    <col min="9" max="9" width="8.75" style="3" customWidth="1"/>
    <col min="10" max="10" width="14.375" style="4" customWidth="1"/>
    <col min="11" max="11" width="9.5" style="4" customWidth="1"/>
    <col min="12" max="12" width="9" style="5"/>
    <col min="13" max="13" width="14.125" style="5"/>
    <col min="14" max="15" width="9" style="5"/>
    <col min="16" max="16" width="10.375" style="5" customWidth="1"/>
    <col min="17" max="17" width="8.75" style="5" customWidth="1"/>
    <col min="18" max="19" width="9" style="5"/>
    <col min="20" max="16384" width="9" style="1"/>
  </cols>
  <sheetData>
    <row r="1" s="1" customFormat="1" customHeight="1" spans="1:19">
      <c r="A1" s="6" t="s">
        <v>0</v>
      </c>
      <c r="B1" s="6"/>
      <c r="C1" s="6"/>
      <c r="D1" s="6"/>
      <c r="E1" s="6"/>
      <c r="F1" s="6"/>
      <c r="G1" s="7" t="s">
        <v>1</v>
      </c>
      <c r="H1" s="3"/>
      <c r="I1" s="8" t="s">
        <v>82</v>
      </c>
      <c r="J1" s="9" t="s">
        <v>2</v>
      </c>
      <c r="K1" s="9" t="s">
        <v>3</v>
      </c>
      <c r="L1" s="10" t="s">
        <v>4</v>
      </c>
      <c r="M1" s="10" t="s">
        <v>5</v>
      </c>
      <c r="N1" s="10" t="s">
        <v>6</v>
      </c>
      <c r="O1" s="10" t="s">
        <v>7</v>
      </c>
      <c r="P1" s="11" t="s">
        <v>8</v>
      </c>
      <c r="Q1" s="10" t="s">
        <v>9</v>
      </c>
      <c r="R1" s="10" t="s">
        <v>10</v>
      </c>
      <c r="S1" s="10" t="s">
        <v>11</v>
      </c>
    </row>
    <row r="2" s="1" customFormat="1" customHeight="1" spans="1:19">
      <c r="A2" s="12" t="s">
        <v>12</v>
      </c>
      <c r="B2" s="12"/>
      <c r="C2" s="12"/>
      <c r="D2" s="12"/>
      <c r="E2" s="12"/>
      <c r="F2" s="12"/>
      <c r="G2" s="12"/>
      <c r="H2" s="3"/>
      <c r="I2" s="13" t="s">
        <v>83</v>
      </c>
      <c r="J2" s="14" t="s">
        <v>13</v>
      </c>
      <c r="K2" s="14"/>
      <c r="L2" s="15">
        <v>300</v>
      </c>
      <c r="M2" s="15">
        <v>54</v>
      </c>
      <c r="N2" s="15">
        <v>59</v>
      </c>
      <c r="O2" s="15">
        <v>3800</v>
      </c>
      <c r="P2" s="15">
        <v>1160</v>
      </c>
      <c r="Q2" s="16">
        <f>L2*M2*N2*O2*P2/10000000000</f>
        <v>421.31664</v>
      </c>
      <c r="R2" s="17">
        <f t="shared" ref="R2:R8" si="0">Q2/S2</f>
        <v>0.42131664</v>
      </c>
      <c r="S2" s="18">
        <v>1000</v>
      </c>
    </row>
    <row r="3" s="1" customFormat="1" customHeight="1" spans="1:19">
      <c r="A3" s="19" t="s">
        <v>14</v>
      </c>
      <c r="B3" s="19"/>
      <c r="C3" s="19"/>
      <c r="D3" s="19"/>
      <c r="E3" s="19"/>
      <c r="F3" s="19"/>
      <c r="G3" s="19"/>
      <c r="H3" s="3"/>
      <c r="I3" s="3" t="s">
        <v>15</v>
      </c>
      <c r="J3" s="96" t="s">
        <v>68</v>
      </c>
      <c r="K3" s="40" t="s">
        <v>84</v>
      </c>
      <c r="L3" s="18">
        <v>1</v>
      </c>
      <c r="M3" s="15">
        <v>54</v>
      </c>
      <c r="N3" s="15">
        <v>59</v>
      </c>
      <c r="O3" s="18">
        <v>0.78</v>
      </c>
      <c r="P3" s="15">
        <v>1160</v>
      </c>
      <c r="Q3" s="41">
        <f>L3*M3/2.54*N3/2.54*O3*P3/1000</f>
        <v>446.818277636555</v>
      </c>
      <c r="R3" s="28">
        <f t="shared" si="0"/>
        <v>0.446818277636555</v>
      </c>
      <c r="S3" s="18">
        <v>1000</v>
      </c>
    </row>
    <row r="4" s="1" customFormat="1" customHeight="1" spans="1:19">
      <c r="A4" s="20" t="s">
        <v>19</v>
      </c>
      <c r="B4" s="21" t="s">
        <v>85</v>
      </c>
      <c r="C4" s="20"/>
      <c r="D4" s="20"/>
      <c r="E4" s="20" t="s">
        <v>21</v>
      </c>
      <c r="F4" s="22"/>
      <c r="G4" s="23">
        <v>46114</v>
      </c>
      <c r="I4" s="24"/>
      <c r="J4" s="25" t="s">
        <v>86</v>
      </c>
      <c r="K4" s="26"/>
      <c r="L4" s="18">
        <v>1</v>
      </c>
      <c r="M4" s="15">
        <v>54</v>
      </c>
      <c r="N4" s="15">
        <v>59</v>
      </c>
      <c r="O4" s="18">
        <v>0.0465</v>
      </c>
      <c r="P4" s="15">
        <v>1160</v>
      </c>
      <c r="Q4" s="27">
        <f>L4*M4*N4*O4*P4/1000</f>
        <v>171.85284</v>
      </c>
      <c r="R4" s="28">
        <f t="shared" si="0"/>
        <v>0.17185284</v>
      </c>
      <c r="S4" s="18">
        <v>1000</v>
      </c>
    </row>
    <row r="5" s="1" customFormat="1" customHeight="1" spans="1:19">
      <c r="A5" s="29" t="s">
        <v>23</v>
      </c>
      <c r="B5" s="29" t="s">
        <v>24</v>
      </c>
      <c r="C5" s="30" t="s">
        <v>25</v>
      </c>
      <c r="D5" s="30" t="s">
        <v>26</v>
      </c>
      <c r="E5" s="30" t="s">
        <v>27</v>
      </c>
      <c r="F5" s="30" t="s">
        <v>28</v>
      </c>
      <c r="G5" s="29" t="s">
        <v>29</v>
      </c>
      <c r="I5" s="31" t="s">
        <v>30</v>
      </c>
      <c r="J5" s="26" t="s">
        <v>31</v>
      </c>
      <c r="K5" s="26"/>
      <c r="L5" s="18">
        <v>1</v>
      </c>
      <c r="M5" s="15">
        <v>54</v>
      </c>
      <c r="N5" s="15">
        <v>59</v>
      </c>
      <c r="O5" s="18">
        <v>0.028</v>
      </c>
      <c r="P5" s="15">
        <v>1160</v>
      </c>
      <c r="Q5" s="27">
        <f>L5*M5*N5*O5*P5/1000</f>
        <v>103.48128</v>
      </c>
      <c r="R5" s="28">
        <f t="shared" si="0"/>
        <v>0.10348128</v>
      </c>
      <c r="S5" s="18">
        <v>1000</v>
      </c>
    </row>
    <row r="6" s="2" customFormat="1" customHeight="1" spans="1:19">
      <c r="A6" s="32" t="s">
        <v>87</v>
      </c>
      <c r="B6" s="33" t="s">
        <v>88</v>
      </c>
      <c r="C6" s="34" t="s">
        <v>89</v>
      </c>
      <c r="D6" s="10">
        <v>1000</v>
      </c>
      <c r="E6" s="35">
        <v>2.57</v>
      </c>
      <c r="F6" s="93">
        <f>D6*E6</f>
        <v>2570</v>
      </c>
      <c r="G6" s="37"/>
      <c r="H6" s="38">
        <f t="shared" ref="H6:H13" si="1">D6*E6</f>
        <v>2570</v>
      </c>
      <c r="I6" s="39" t="s">
        <v>90</v>
      </c>
      <c r="J6" s="40" t="s">
        <v>40</v>
      </c>
      <c r="K6" s="40"/>
      <c r="L6" s="18"/>
      <c r="M6" s="18"/>
      <c r="N6" s="18"/>
      <c r="O6" s="18"/>
      <c r="P6" s="15">
        <v>1160</v>
      </c>
      <c r="Q6" s="41">
        <v>600</v>
      </c>
      <c r="R6" s="28">
        <f t="shared" si="0"/>
        <v>0.6</v>
      </c>
      <c r="S6" s="18">
        <v>1000</v>
      </c>
    </row>
    <row r="7" s="2" customFormat="1" customHeight="1" spans="1:19">
      <c r="A7" s="33"/>
      <c r="B7" s="33"/>
      <c r="C7" s="34" t="s">
        <v>91</v>
      </c>
      <c r="D7" s="10"/>
      <c r="E7" s="35"/>
      <c r="F7" s="93"/>
      <c r="G7" s="42"/>
      <c r="H7" s="38">
        <f t="shared" si="1"/>
        <v>0</v>
      </c>
      <c r="I7" s="39"/>
      <c r="J7" s="43" t="s">
        <v>22</v>
      </c>
      <c r="K7" s="40"/>
      <c r="L7" s="18"/>
      <c r="M7" s="18"/>
      <c r="N7" s="18"/>
      <c r="O7" s="18"/>
      <c r="P7" s="15">
        <v>1160</v>
      </c>
      <c r="Q7" s="41">
        <v>250</v>
      </c>
      <c r="R7" s="28">
        <f t="shared" si="0"/>
        <v>0.25</v>
      </c>
      <c r="S7" s="18">
        <v>1000</v>
      </c>
    </row>
    <row r="8" s="2" customFormat="1" customHeight="1" spans="1:19">
      <c r="A8" s="44"/>
      <c r="B8" s="45"/>
      <c r="C8" s="34"/>
      <c r="D8" s="10"/>
      <c r="E8" s="35"/>
      <c r="F8" s="93"/>
      <c r="G8" s="37"/>
      <c r="H8" s="38">
        <f t="shared" si="1"/>
        <v>0</v>
      </c>
      <c r="I8" s="46"/>
      <c r="J8" s="14" t="s">
        <v>32</v>
      </c>
      <c r="K8" s="47" t="s">
        <v>33</v>
      </c>
      <c r="L8" s="15" t="s">
        <v>34</v>
      </c>
      <c r="M8" s="15"/>
      <c r="N8" s="15" t="s">
        <v>35</v>
      </c>
      <c r="O8" s="15">
        <v>0.1</v>
      </c>
      <c r="P8" s="15">
        <v>1160</v>
      </c>
      <c r="Q8" s="16">
        <f>O8*P8</f>
        <v>116</v>
      </c>
      <c r="R8" s="17">
        <f t="shared" si="0"/>
        <v>0.116</v>
      </c>
      <c r="S8" s="18">
        <v>1000</v>
      </c>
    </row>
    <row r="9" s="2" customFormat="1" customHeight="1" spans="1:19">
      <c r="A9" s="48"/>
      <c r="B9" s="49"/>
      <c r="C9" s="34"/>
      <c r="D9" s="10"/>
      <c r="E9" s="35"/>
      <c r="F9" s="93"/>
      <c r="G9" s="50"/>
      <c r="H9" s="38">
        <f t="shared" si="1"/>
        <v>0</v>
      </c>
      <c r="I9" s="46"/>
      <c r="J9" s="9" t="s">
        <v>48</v>
      </c>
      <c r="K9" s="9"/>
      <c r="L9" s="52"/>
      <c r="M9" s="52"/>
      <c r="N9" s="52"/>
      <c r="O9" s="52"/>
      <c r="P9" s="52"/>
      <c r="Q9" s="53">
        <f>SUM(Q2:Q8)</f>
        <v>2109.46903763656</v>
      </c>
      <c r="R9" s="54">
        <f>SUM(R2:R8)</f>
        <v>2.10946903763656</v>
      </c>
      <c r="S9" s="18">
        <v>1000</v>
      </c>
    </row>
    <row r="10" s="2" customFormat="1" customHeight="1" spans="1:19">
      <c r="A10" s="33"/>
      <c r="B10" s="33"/>
      <c r="C10" s="34"/>
      <c r="D10" s="10"/>
      <c r="E10" s="35"/>
      <c r="F10" s="93"/>
      <c r="G10" s="51"/>
      <c r="H10" s="38">
        <f t="shared" si="1"/>
        <v>0</v>
      </c>
      <c r="I10" s="46"/>
      <c r="J10" s="57"/>
      <c r="K10" s="58"/>
      <c r="L10" s="52"/>
      <c r="M10" s="52"/>
      <c r="N10" s="52" t="s">
        <v>52</v>
      </c>
      <c r="O10" s="10" t="s">
        <v>53</v>
      </c>
      <c r="P10" s="59"/>
      <c r="Q10" s="60">
        <v>1.2</v>
      </c>
      <c r="R10" s="54">
        <f>R9*Q10</f>
        <v>2.53136284516387</v>
      </c>
      <c r="S10" s="52"/>
    </row>
    <row r="11" s="2" customFormat="1" customHeight="1" spans="1:19">
      <c r="A11" s="44"/>
      <c r="B11" s="55"/>
      <c r="C11" s="34"/>
      <c r="D11" s="10"/>
      <c r="E11" s="35"/>
      <c r="F11" s="93"/>
      <c r="G11" s="56"/>
      <c r="H11" s="38">
        <f t="shared" si="1"/>
        <v>0</v>
      </c>
    </row>
    <row r="12" s="2" customFormat="1" customHeight="1" spans="1:19">
      <c r="A12" s="44"/>
      <c r="B12" s="55"/>
      <c r="C12" s="34"/>
      <c r="D12" s="10"/>
      <c r="E12" s="35"/>
      <c r="F12" s="93"/>
      <c r="G12" s="56"/>
      <c r="H12" s="38">
        <f t="shared" si="1"/>
        <v>0</v>
      </c>
      <c r="J12" s="70"/>
      <c r="K12" s="70"/>
      <c r="L12" s="71"/>
      <c r="M12" s="71"/>
      <c r="N12" s="71"/>
      <c r="O12" s="71"/>
      <c r="P12" s="72"/>
      <c r="Q12" s="71"/>
      <c r="R12" s="71"/>
      <c r="S12" s="71"/>
    </row>
    <row r="13" s="2" customFormat="1" customHeight="1" spans="1:19">
      <c r="A13" s="44"/>
      <c r="B13" s="49"/>
      <c r="C13" s="34"/>
      <c r="D13" s="10"/>
      <c r="E13" s="35"/>
      <c r="F13" s="93"/>
      <c r="G13" s="37"/>
      <c r="H13" s="38">
        <f t="shared" si="1"/>
        <v>0</v>
      </c>
      <c r="J13" s="4"/>
      <c r="K13" s="4"/>
      <c r="L13" s="73"/>
      <c r="M13" s="73"/>
      <c r="N13" s="73"/>
      <c r="O13" s="73"/>
      <c r="P13" s="73"/>
      <c r="Q13" s="74"/>
      <c r="R13" s="75"/>
      <c r="S13" s="76"/>
    </row>
    <row r="14" s="1" customFormat="1" customHeight="1" spans="1:19">
      <c r="A14" s="61" t="s">
        <v>65</v>
      </c>
      <c r="B14" s="62"/>
      <c r="C14" s="62"/>
      <c r="D14" s="62"/>
      <c r="E14" s="62"/>
      <c r="F14" s="62"/>
      <c r="G14" s="62"/>
      <c r="H14" s="63"/>
      <c r="I14" s="64"/>
      <c r="J14" s="94"/>
      <c r="K14" s="81"/>
      <c r="L14" s="76"/>
      <c r="M14" s="73"/>
      <c r="N14" s="73"/>
      <c r="O14" s="76"/>
      <c r="P14" s="73"/>
      <c r="Q14" s="84"/>
      <c r="R14" s="80"/>
      <c r="S14" s="76"/>
    </row>
    <row r="15" s="1" customFormat="1" ht="68" customHeight="1" spans="1:19">
      <c r="A15" s="65" t="s">
        <v>66</v>
      </c>
      <c r="B15" s="65"/>
      <c r="C15" s="65"/>
      <c r="D15" s="65"/>
      <c r="E15" s="65"/>
      <c r="F15" s="65"/>
      <c r="G15" s="65"/>
      <c r="H15" s="63"/>
      <c r="I15" s="63"/>
      <c r="J15" s="78"/>
      <c r="K15" s="78"/>
      <c r="L15" s="76"/>
      <c r="M15" s="73"/>
      <c r="N15" s="73"/>
      <c r="O15" s="76"/>
      <c r="P15" s="73"/>
      <c r="Q15" s="79"/>
      <c r="R15" s="80"/>
      <c r="S15" s="76"/>
    </row>
    <row r="16" s="1" customFormat="1" customHeight="1" spans="1:19">
      <c r="C16" s="1" t="s">
        <v>80</v>
      </c>
      <c r="H16" s="3"/>
      <c r="I16" s="3"/>
      <c r="J16" s="78"/>
      <c r="K16" s="78"/>
      <c r="L16" s="76"/>
      <c r="M16" s="73"/>
      <c r="N16" s="73"/>
      <c r="O16" s="76"/>
      <c r="P16" s="73"/>
      <c r="Q16" s="79"/>
      <c r="R16" s="80"/>
      <c r="S16" s="76"/>
    </row>
    <row r="17" s="1" customFormat="1" customHeight="1" spans="3:19">
      <c r="C17" s="1" t="s">
        <v>81</v>
      </c>
      <c r="H17" s="3"/>
      <c r="I17" s="3"/>
      <c r="J17" s="81"/>
      <c r="K17" s="81"/>
      <c r="L17" s="76"/>
      <c r="M17" s="76"/>
      <c r="N17" s="76"/>
      <c r="O17" s="76"/>
      <c r="P17" s="73"/>
      <c r="Q17" s="84"/>
      <c r="R17" s="80"/>
      <c r="S17" s="76"/>
    </row>
    <row r="18" s="1" customFormat="1" customHeight="1" spans="3:19">
      <c r="H18" s="3"/>
      <c r="I18" s="3"/>
      <c r="J18" s="82"/>
      <c r="K18" s="81"/>
      <c r="L18" s="76"/>
      <c r="M18" s="76"/>
      <c r="N18" s="76"/>
      <c r="O18" s="76"/>
      <c r="P18" s="73"/>
      <c r="Q18" s="84"/>
      <c r="R18" s="80"/>
      <c r="S18" s="76"/>
    </row>
    <row r="19" s="1" customFormat="1" customHeight="1" spans="3:19">
      <c r="H19" s="3"/>
      <c r="I19" s="3"/>
      <c r="J19" s="4"/>
      <c r="K19" s="85"/>
      <c r="L19" s="73"/>
      <c r="M19" s="73"/>
      <c r="N19" s="73"/>
      <c r="O19" s="73"/>
      <c r="P19" s="73"/>
      <c r="Q19" s="74"/>
      <c r="R19" s="75"/>
      <c r="S19" s="76"/>
    </row>
    <row r="20" s="1" customFormat="1" customHeight="1" spans="3:19">
      <c r="H20" s="3"/>
      <c r="I20" s="3"/>
      <c r="J20" s="70"/>
      <c r="K20" s="70"/>
      <c r="L20" s="86"/>
      <c r="M20" s="86"/>
      <c r="N20" s="86"/>
      <c r="O20" s="86"/>
      <c r="P20" s="86"/>
      <c r="Q20" s="87"/>
      <c r="R20" s="88"/>
      <c r="S20" s="76"/>
    </row>
    <row r="21" s="1" customFormat="1" customHeight="1" spans="3:19">
      <c r="H21" s="3"/>
      <c r="I21" s="3"/>
      <c r="J21" s="89"/>
      <c r="K21" s="90"/>
      <c r="L21" s="86"/>
      <c r="M21" s="86"/>
      <c r="N21" s="86"/>
      <c r="O21" s="71"/>
      <c r="P21" s="91"/>
      <c r="Q21" s="92"/>
      <c r="R21" s="88"/>
      <c r="S21" s="86"/>
    </row>
    <row r="22" s="1" customFormat="1" customHeight="1" spans="3:19">
      <c r="H22" s="3"/>
      <c r="I22" s="3"/>
      <c r="J22" s="81"/>
      <c r="K22" s="81"/>
      <c r="L22" s="76"/>
      <c r="M22" s="76"/>
      <c r="N22" s="76"/>
      <c r="O22" s="76"/>
      <c r="P22" s="73"/>
      <c r="Q22" s="84"/>
      <c r="R22" s="80"/>
      <c r="S22" s="76"/>
    </row>
    <row r="23" s="1" customFormat="1" customHeight="1" spans="3:19">
      <c r="H23" s="3"/>
      <c r="I23" s="3"/>
      <c r="J23" s="70"/>
      <c r="K23" s="70"/>
      <c r="L23" s="71"/>
      <c r="M23" s="71"/>
      <c r="N23" s="71"/>
      <c r="O23" s="71"/>
      <c r="P23" s="72"/>
      <c r="Q23" s="71"/>
      <c r="R23" s="71"/>
      <c r="S23" s="71"/>
    </row>
    <row r="24" s="1" customFormat="1" customHeight="1" spans="3:19">
      <c r="H24" s="3"/>
      <c r="I24" s="3"/>
      <c r="J24" s="4"/>
      <c r="K24" s="4"/>
      <c r="L24" s="73"/>
      <c r="M24" s="73"/>
      <c r="N24" s="73"/>
      <c r="O24" s="73"/>
      <c r="P24" s="73"/>
      <c r="Q24" s="74"/>
      <c r="R24" s="75"/>
      <c r="S24" s="76"/>
    </row>
    <row r="25" s="1" customFormat="1" customHeight="1" spans="3:19">
      <c r="H25" s="3"/>
      <c r="I25" s="3"/>
      <c r="J25" s="94"/>
      <c r="K25" s="81"/>
      <c r="L25" s="76"/>
      <c r="M25" s="73"/>
      <c r="N25" s="73"/>
      <c r="O25" s="76"/>
      <c r="P25" s="73"/>
      <c r="Q25" s="84"/>
      <c r="R25" s="80"/>
      <c r="S25" s="76"/>
    </row>
    <row r="26" s="1" customFormat="1" customHeight="1" spans="3:19">
      <c r="H26" s="3"/>
      <c r="I26" s="3"/>
      <c r="J26" s="78"/>
      <c r="K26" s="78"/>
      <c r="L26" s="76"/>
      <c r="M26" s="73"/>
      <c r="N26" s="73"/>
      <c r="O26" s="76"/>
      <c r="P26" s="73"/>
      <c r="Q26" s="79"/>
      <c r="R26" s="80"/>
      <c r="S26" s="76"/>
    </row>
    <row r="27" s="1" customFormat="1" customHeight="1" spans="3:19">
      <c r="H27" s="3"/>
      <c r="I27" s="3"/>
      <c r="J27" s="78"/>
      <c r="K27" s="78"/>
      <c r="L27" s="76"/>
      <c r="M27" s="73"/>
      <c r="N27" s="73"/>
      <c r="O27" s="76"/>
      <c r="P27" s="73"/>
      <c r="Q27" s="79"/>
      <c r="R27" s="80"/>
      <c r="S27" s="76"/>
    </row>
    <row r="28" s="1" customFormat="1" customHeight="1" spans="3:19">
      <c r="H28" s="3"/>
      <c r="I28" s="3"/>
      <c r="J28" s="81"/>
      <c r="K28" s="81"/>
      <c r="L28" s="76"/>
      <c r="M28" s="76"/>
      <c r="N28" s="76"/>
      <c r="O28" s="76"/>
      <c r="P28" s="73"/>
      <c r="Q28" s="84"/>
      <c r="R28" s="80"/>
      <c r="S28" s="76"/>
    </row>
    <row r="29" s="1" customFormat="1" customHeight="1" spans="3:19">
      <c r="H29" s="3"/>
      <c r="I29" s="3"/>
      <c r="J29" s="82"/>
      <c r="K29" s="81"/>
      <c r="L29" s="76"/>
      <c r="M29" s="76"/>
      <c r="N29" s="76"/>
      <c r="O29" s="76"/>
      <c r="P29" s="73"/>
      <c r="Q29" s="84"/>
      <c r="R29" s="80"/>
      <c r="S29" s="76"/>
    </row>
    <row r="30" s="1" customFormat="1" customHeight="1" spans="3:19">
      <c r="H30" s="3"/>
      <c r="I30" s="3"/>
      <c r="J30" s="4"/>
      <c r="K30" s="85"/>
      <c r="L30" s="73"/>
      <c r="M30" s="73"/>
      <c r="N30" s="73"/>
      <c r="O30" s="73"/>
      <c r="P30" s="73"/>
      <c r="Q30" s="74"/>
      <c r="R30" s="75"/>
      <c r="S30" s="76"/>
    </row>
    <row r="31" s="1" customFormat="1" customHeight="1" spans="3:19">
      <c r="H31" s="3"/>
      <c r="I31" s="3"/>
      <c r="J31" s="70"/>
      <c r="K31" s="70"/>
      <c r="L31" s="86"/>
      <c r="M31" s="86"/>
      <c r="N31" s="86"/>
      <c r="O31" s="86"/>
      <c r="P31" s="86"/>
      <c r="Q31" s="87"/>
      <c r="R31" s="88"/>
      <c r="S31" s="76"/>
    </row>
    <row r="32" s="1" customFormat="1" customHeight="1" spans="3:19">
      <c r="H32" s="3"/>
      <c r="I32" s="3"/>
      <c r="J32" s="89"/>
      <c r="K32" s="90"/>
      <c r="L32" s="86"/>
      <c r="M32" s="86"/>
      <c r="N32" s="86"/>
      <c r="O32" s="71"/>
      <c r="P32" s="91"/>
      <c r="Q32" s="92"/>
      <c r="R32" s="88"/>
      <c r="S32" s="86"/>
    </row>
    <row r="33" s="1" customFormat="1" customHeight="1" spans="8:19">
      <c r="H33" s="3"/>
      <c r="I33" s="3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s="1" customFormat="1" customHeight="1" spans="8:19">
      <c r="H34" s="3"/>
      <c r="I34" s="3"/>
      <c r="J34" s="70"/>
      <c r="K34" s="70"/>
      <c r="L34" s="71"/>
      <c r="M34" s="71"/>
      <c r="N34" s="71"/>
      <c r="O34" s="71"/>
      <c r="P34" s="72"/>
      <c r="Q34" s="71"/>
      <c r="R34" s="71"/>
      <c r="S34" s="71"/>
    </row>
    <row r="35" s="1" customFormat="1" customHeight="1" spans="8:19">
      <c r="H35" s="3"/>
      <c r="I35" s="3"/>
      <c r="J35" s="4"/>
      <c r="K35" s="4"/>
      <c r="L35" s="73"/>
      <c r="M35" s="73"/>
      <c r="N35" s="73"/>
      <c r="O35" s="73"/>
      <c r="P35" s="73"/>
      <c r="Q35" s="74"/>
      <c r="R35" s="75"/>
      <c r="S35" s="76"/>
    </row>
    <row r="36" s="1" customFormat="1" customHeight="1" spans="8:19">
      <c r="H36" s="3"/>
      <c r="I36" s="3"/>
      <c r="J36" s="94"/>
      <c r="K36" s="81"/>
      <c r="L36" s="76"/>
      <c r="M36" s="73"/>
      <c r="N36" s="73"/>
      <c r="O36" s="76"/>
      <c r="P36" s="73"/>
      <c r="Q36" s="84"/>
      <c r="R36" s="80"/>
      <c r="S36" s="76"/>
    </row>
    <row r="37" s="1" customFormat="1" customHeight="1" spans="8:19">
      <c r="H37" s="3"/>
      <c r="I37" s="3"/>
      <c r="J37" s="78"/>
      <c r="K37" s="78"/>
      <c r="L37" s="76"/>
      <c r="M37" s="73"/>
      <c r="N37" s="73"/>
      <c r="O37" s="76"/>
      <c r="P37" s="73"/>
      <c r="Q37" s="79"/>
      <c r="R37" s="80"/>
      <c r="S37" s="76"/>
    </row>
    <row r="38" s="1" customFormat="1" customHeight="1" spans="8:19">
      <c r="H38" s="3"/>
      <c r="I38" s="3"/>
      <c r="J38" s="78"/>
      <c r="K38" s="78"/>
      <c r="L38" s="76"/>
      <c r="M38" s="73"/>
      <c r="N38" s="73"/>
      <c r="O38" s="76"/>
      <c r="P38" s="73"/>
      <c r="Q38" s="79"/>
      <c r="R38" s="80"/>
      <c r="S38" s="76"/>
    </row>
    <row r="39" s="1" customFormat="1" customHeight="1" spans="8:19">
      <c r="H39" s="3"/>
      <c r="I39" s="3"/>
      <c r="J39" s="81"/>
      <c r="K39" s="81"/>
      <c r="L39" s="76"/>
      <c r="M39" s="76"/>
      <c r="N39" s="76"/>
      <c r="O39" s="76"/>
      <c r="P39" s="73"/>
      <c r="Q39" s="84"/>
      <c r="R39" s="80"/>
      <c r="S39" s="76"/>
    </row>
    <row r="40" s="1" customFormat="1" customHeight="1" spans="8:19">
      <c r="H40" s="3"/>
      <c r="I40" s="3"/>
      <c r="J40" s="82"/>
      <c r="K40" s="81"/>
      <c r="L40" s="76"/>
      <c r="M40" s="76"/>
      <c r="N40" s="76"/>
      <c r="O40" s="76"/>
      <c r="P40" s="73"/>
      <c r="Q40" s="84"/>
      <c r="R40" s="80"/>
      <c r="S40" s="76"/>
    </row>
    <row r="41" s="1" customFormat="1" customHeight="1" spans="8:19">
      <c r="H41" s="3"/>
      <c r="I41" s="3"/>
      <c r="J41" s="4"/>
      <c r="K41" s="85"/>
      <c r="L41" s="73"/>
      <c r="M41" s="73"/>
      <c r="N41" s="73"/>
      <c r="O41" s="73"/>
      <c r="P41" s="73"/>
      <c r="Q41" s="74"/>
      <c r="R41" s="75"/>
      <c r="S41" s="76"/>
    </row>
    <row r="42" s="1" customFormat="1" customHeight="1" spans="8:19">
      <c r="H42" s="3"/>
      <c r="I42" s="3"/>
      <c r="J42" s="70"/>
      <c r="K42" s="70"/>
      <c r="L42" s="86"/>
      <c r="M42" s="86"/>
      <c r="N42" s="86"/>
      <c r="O42" s="86"/>
      <c r="P42" s="86"/>
      <c r="Q42" s="87"/>
      <c r="R42" s="88"/>
      <c r="S42" s="76"/>
    </row>
    <row r="43" s="1" customFormat="1" customHeight="1" spans="8:19">
      <c r="H43" s="3"/>
      <c r="I43" s="3"/>
      <c r="J43" s="89"/>
      <c r="K43" s="90"/>
      <c r="L43" s="86"/>
      <c r="M43" s="86"/>
      <c r="N43" s="86"/>
      <c r="O43" s="71"/>
      <c r="P43" s="91"/>
      <c r="Q43" s="92"/>
      <c r="R43" s="88"/>
      <c r="S43" s="86"/>
    </row>
  </sheetData>
  <mergeCells count="5">
    <mergeCell ref="A1:F1"/>
    <mergeCell ref="A2:G2"/>
    <mergeCell ref="A3:G3"/>
    <mergeCell ref="A14:G14"/>
    <mergeCell ref="A15:G15"/>
  </mergeCells>
  <pageMargins left="0.75" right="0.75" top="1" bottom="1" header="0.5" footer="0.5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3"/>
  <sheetViews>
    <sheetView workbookViewId="0">
      <selection activeCell="A1" sqref="$A1:$XFD1048576"/>
    </sheetView>
  </sheetViews>
  <sheetFormatPr defaultColWidth="9" defaultRowHeight="41" customHeight="1"/>
  <cols>
    <col min="1" max="1" width="12.625" style="1" customWidth="1"/>
    <col min="2" max="2" width="14.35" style="1" customWidth="1"/>
    <col min="3" max="3" width="19.25" style="1" customWidth="1"/>
    <col min="4" max="4" width="8.09166666666667" style="1" customWidth="1"/>
    <col min="5" max="5" width="9.25833333333333" style="1" customWidth="1"/>
    <col min="6" max="6" width="10.4333333333333" style="1" customWidth="1"/>
    <col min="7" max="7" width="12.875" style="1" customWidth="1"/>
    <col min="8" max="8" width="6.4" style="3" customWidth="1"/>
    <col min="9" max="9" width="8.75" style="3" customWidth="1"/>
    <col min="10" max="10" width="14.375" style="4" customWidth="1"/>
    <col min="11" max="11" width="9.5" style="4" customWidth="1"/>
    <col min="12" max="12" width="9" style="5"/>
    <col min="13" max="13" width="14.125" style="5"/>
    <col min="14" max="15" width="9" style="5"/>
    <col min="16" max="16" width="10.375" style="5" customWidth="1"/>
    <col min="17" max="17" width="8.75" style="5" customWidth="1"/>
    <col min="18" max="19" width="9" style="5"/>
    <col min="20" max="16384" width="9" style="1"/>
  </cols>
  <sheetData>
    <row r="1" s="1" customFormat="1" customHeight="1" spans="1:19">
      <c r="A1" s="6" t="s">
        <v>0</v>
      </c>
      <c r="B1" s="6"/>
      <c r="C1" s="6"/>
      <c r="D1" s="6"/>
      <c r="E1" s="6"/>
      <c r="F1" s="6"/>
      <c r="G1" s="7" t="s">
        <v>1</v>
      </c>
      <c r="H1" s="3"/>
      <c r="I1" s="8" t="s">
        <v>82</v>
      </c>
      <c r="J1" s="9" t="s">
        <v>2</v>
      </c>
      <c r="K1" s="9" t="s">
        <v>3</v>
      </c>
      <c r="L1" s="10" t="s">
        <v>4</v>
      </c>
      <c r="M1" s="10" t="s">
        <v>5</v>
      </c>
      <c r="N1" s="10" t="s">
        <v>6</v>
      </c>
      <c r="O1" s="10" t="s">
        <v>7</v>
      </c>
      <c r="P1" s="11" t="s">
        <v>8</v>
      </c>
      <c r="Q1" s="10" t="s">
        <v>9</v>
      </c>
      <c r="R1" s="10" t="s">
        <v>10</v>
      </c>
      <c r="S1" s="10" t="s">
        <v>11</v>
      </c>
    </row>
    <row r="2" s="1" customFormat="1" customHeight="1" spans="1:19">
      <c r="A2" s="12" t="s">
        <v>12</v>
      </c>
      <c r="B2" s="12"/>
      <c r="C2" s="12"/>
      <c r="D2" s="12"/>
      <c r="E2" s="12"/>
      <c r="F2" s="12"/>
      <c r="G2" s="12"/>
      <c r="H2" s="3"/>
      <c r="I2" s="13" t="s">
        <v>83</v>
      </c>
      <c r="J2" s="14" t="s">
        <v>13</v>
      </c>
      <c r="K2" s="14"/>
      <c r="L2" s="15">
        <v>300</v>
      </c>
      <c r="M2" s="15">
        <f>(9.2+2.8+9.2+2.8+2+2)*2</f>
        <v>56</v>
      </c>
      <c r="N2" s="15">
        <f>(2+2.8+9.2+2+2.8+3)*3+2</f>
        <v>67.4</v>
      </c>
      <c r="O2" s="15">
        <v>4170</v>
      </c>
      <c r="P2" s="16">
        <f>5000/6+200</f>
        <v>1033.33333333333</v>
      </c>
      <c r="Q2" s="16">
        <f>L2*M2*N2*O2*P2/10000000000</f>
        <v>487.916688</v>
      </c>
      <c r="R2" s="17">
        <f>Q2/S2</f>
        <v>0.0975833376</v>
      </c>
      <c r="S2" s="18">
        <v>5000</v>
      </c>
    </row>
    <row r="3" s="1" customFormat="1" customHeight="1" spans="1:19">
      <c r="A3" s="19" t="s">
        <v>14</v>
      </c>
      <c r="B3" s="19"/>
      <c r="C3" s="19"/>
      <c r="D3" s="19"/>
      <c r="E3" s="19"/>
      <c r="F3" s="19"/>
      <c r="G3" s="19"/>
      <c r="H3" s="3"/>
      <c r="I3" s="3" t="s">
        <v>15</v>
      </c>
      <c r="J3" s="14" t="s">
        <v>13</v>
      </c>
      <c r="K3" s="14"/>
      <c r="L3" s="15">
        <v>300</v>
      </c>
      <c r="M3" s="15">
        <f>(9.2+2.8+9.2+2.8+2+2)*2</f>
        <v>56</v>
      </c>
      <c r="N3" s="15">
        <f>(2+2.8+9.2+2+2.8+3)*3+2</f>
        <v>67.4</v>
      </c>
      <c r="O3" s="15">
        <v>4170</v>
      </c>
      <c r="P3" s="16">
        <f t="shared" ref="P3:P10" si="0">5000/6+200</f>
        <v>1033.33333333333</v>
      </c>
      <c r="Q3" s="16">
        <f>L3*M3*N3*O3*P3/10000000000</f>
        <v>487.916688</v>
      </c>
      <c r="R3" s="17">
        <f>Q3/S3</f>
        <v>0.0975833376</v>
      </c>
      <c r="S3" s="18">
        <v>5000</v>
      </c>
    </row>
    <row r="4" s="1" customFormat="1" customHeight="1" spans="1:19">
      <c r="A4" s="20" t="s">
        <v>19</v>
      </c>
      <c r="B4" s="21" t="s">
        <v>92</v>
      </c>
      <c r="C4" s="20"/>
      <c r="D4" s="20"/>
      <c r="E4" s="20" t="s">
        <v>21</v>
      </c>
      <c r="F4" s="22"/>
      <c r="G4" s="23">
        <v>46114</v>
      </c>
      <c r="I4" s="24"/>
      <c r="J4" s="25" t="s">
        <v>86</v>
      </c>
      <c r="K4" s="26"/>
      <c r="L4" s="18">
        <v>1</v>
      </c>
      <c r="M4" s="15">
        <f>(9.2+2.8+9.2+2.8+2+2)*2</f>
        <v>56</v>
      </c>
      <c r="N4" s="15">
        <f>(2+2.8+9.2+2+2.8+3)*3+2</f>
        <v>67.4</v>
      </c>
      <c r="O4" s="18">
        <v>0.0465</v>
      </c>
      <c r="P4" s="16">
        <f t="shared" si="0"/>
        <v>1033.33333333333</v>
      </c>
      <c r="Q4" s="27">
        <f>L4*M4*N4*O4*P4/1000</f>
        <v>181.35992</v>
      </c>
      <c r="R4" s="28">
        <f>Q4/S4</f>
        <v>0.036271984</v>
      </c>
      <c r="S4" s="18">
        <v>5000</v>
      </c>
    </row>
    <row r="5" s="1" customFormat="1" customHeight="1" spans="1:19">
      <c r="A5" s="29" t="s">
        <v>23</v>
      </c>
      <c r="B5" s="29" t="s">
        <v>24</v>
      </c>
      <c r="C5" s="30" t="s">
        <v>25</v>
      </c>
      <c r="D5" s="30" t="s">
        <v>26</v>
      </c>
      <c r="E5" s="30" t="s">
        <v>27</v>
      </c>
      <c r="F5" s="30" t="s">
        <v>28</v>
      </c>
      <c r="G5" s="29" t="s">
        <v>29</v>
      </c>
      <c r="I5" s="31" t="s">
        <v>30</v>
      </c>
      <c r="J5" s="26" t="s">
        <v>31</v>
      </c>
      <c r="K5" s="26"/>
      <c r="L5" s="18">
        <v>1</v>
      </c>
      <c r="M5" s="15">
        <f>(9.2+2.8+9.2+2.8+2+2)*2</f>
        <v>56</v>
      </c>
      <c r="N5" s="15">
        <f>(2+2.8+9.2+2+2.8+3)*3+2</f>
        <v>67.4</v>
      </c>
      <c r="O5" s="18">
        <v>0.028</v>
      </c>
      <c r="P5" s="16">
        <f t="shared" si="0"/>
        <v>1033.33333333333</v>
      </c>
      <c r="Q5" s="27">
        <f>L5*M5*N5*O5*P5/1000</f>
        <v>109.205973333333</v>
      </c>
      <c r="R5" s="28">
        <f>Q5/S5</f>
        <v>0.0218411946666667</v>
      </c>
      <c r="S5" s="18">
        <v>5000</v>
      </c>
    </row>
    <row r="6" s="2" customFormat="1" customHeight="1" spans="1:19">
      <c r="A6" s="32" t="s">
        <v>93</v>
      </c>
      <c r="B6" s="33" t="s">
        <v>94</v>
      </c>
      <c r="C6" s="34" t="s">
        <v>95</v>
      </c>
      <c r="D6" s="10">
        <v>5000</v>
      </c>
      <c r="E6" s="35">
        <f>0.56+0.2</f>
        <v>0.76</v>
      </c>
      <c r="F6" s="93">
        <f>D6*E6</f>
        <v>3800</v>
      </c>
      <c r="G6" s="37" t="s">
        <v>96</v>
      </c>
      <c r="H6" s="38">
        <f t="shared" ref="H6:H13" si="1">D6*E6</f>
        <v>3800</v>
      </c>
      <c r="I6" s="39" t="s">
        <v>90</v>
      </c>
      <c r="J6" s="40" t="s">
        <v>97</v>
      </c>
      <c r="K6" s="43"/>
      <c r="L6" s="43">
        <v>0.2</v>
      </c>
      <c r="M6" s="95">
        <v>0.08</v>
      </c>
      <c r="N6" s="95">
        <v>0.08</v>
      </c>
      <c r="O6" s="95">
        <v>14</v>
      </c>
      <c r="P6" s="16">
        <f t="shared" si="0"/>
        <v>1033.33333333333</v>
      </c>
      <c r="Q6" s="95">
        <f>R6*P6</f>
        <v>26.0649984</v>
      </c>
      <c r="R6" s="28">
        <f>L6*M6*N6*O6*1.38*1.02</f>
        <v>0.025224192</v>
      </c>
      <c r="S6" s="18">
        <v>5000</v>
      </c>
    </row>
    <row r="7" s="2" customFormat="1" customHeight="1" spans="1:19">
      <c r="A7" s="32"/>
      <c r="B7" s="33"/>
      <c r="C7" s="34"/>
      <c r="D7" s="10">
        <v>15000</v>
      </c>
      <c r="E7" s="35">
        <f>0.42+0.19</f>
        <v>0.61</v>
      </c>
      <c r="F7" s="93">
        <f>D7*E7</f>
        <v>9150</v>
      </c>
      <c r="G7" s="42"/>
      <c r="H7" s="38">
        <f t="shared" si="1"/>
        <v>9150</v>
      </c>
      <c r="I7" s="39"/>
      <c r="J7" s="40" t="s">
        <v>40</v>
      </c>
      <c r="K7" s="40"/>
      <c r="L7" s="18"/>
      <c r="M7" s="18"/>
      <c r="N7" s="18"/>
      <c r="O7" s="18"/>
      <c r="P7" s="16">
        <f t="shared" si="0"/>
        <v>1033.33333333333</v>
      </c>
      <c r="Q7" s="41">
        <v>600</v>
      </c>
      <c r="R7" s="28">
        <f t="shared" ref="R7:R10" si="2">Q7/S7</f>
        <v>0.12</v>
      </c>
      <c r="S7" s="18">
        <v>5000</v>
      </c>
    </row>
    <row r="8" s="2" customFormat="1" customHeight="1" spans="1:19">
      <c r="A8" s="44"/>
      <c r="B8" s="45"/>
      <c r="C8" s="34"/>
      <c r="D8" s="10">
        <v>35000</v>
      </c>
      <c r="E8" s="35">
        <f>0.36+0.18</f>
        <v>0.54</v>
      </c>
      <c r="F8" s="93">
        <f>D8*E8</f>
        <v>18900</v>
      </c>
      <c r="G8" s="37"/>
      <c r="H8" s="38">
        <f t="shared" si="1"/>
        <v>18900</v>
      </c>
      <c r="I8" s="46"/>
      <c r="J8" s="43" t="s">
        <v>22</v>
      </c>
      <c r="K8" s="40"/>
      <c r="L8" s="18"/>
      <c r="M8" s="18"/>
      <c r="N8" s="18"/>
      <c r="O8" s="18"/>
      <c r="P8" s="16">
        <f t="shared" si="0"/>
        <v>1033.33333333333</v>
      </c>
      <c r="Q8" s="41">
        <v>250</v>
      </c>
      <c r="R8" s="28">
        <f t="shared" si="2"/>
        <v>0.05</v>
      </c>
      <c r="S8" s="18">
        <v>5000</v>
      </c>
    </row>
    <row r="9" s="2" customFormat="1" customHeight="1" spans="1:19">
      <c r="A9" s="48"/>
      <c r="B9" s="49"/>
      <c r="C9" s="34" t="s">
        <v>91</v>
      </c>
      <c r="D9" s="10"/>
      <c r="E9" s="35"/>
      <c r="F9" s="93"/>
      <c r="G9" s="50"/>
      <c r="H9" s="38">
        <f t="shared" si="1"/>
        <v>0</v>
      </c>
      <c r="I9" s="46"/>
      <c r="J9" s="14" t="s">
        <v>32</v>
      </c>
      <c r="K9" s="47" t="s">
        <v>33</v>
      </c>
      <c r="L9" s="15" t="s">
        <v>34</v>
      </c>
      <c r="M9" s="15"/>
      <c r="N9" s="15" t="s">
        <v>35</v>
      </c>
      <c r="O9" s="15">
        <v>0.1</v>
      </c>
      <c r="P9" s="16">
        <f t="shared" si="0"/>
        <v>1033.33333333333</v>
      </c>
      <c r="Q9" s="16">
        <f>O9*P9</f>
        <v>103.333333333333</v>
      </c>
      <c r="R9" s="17">
        <f t="shared" si="2"/>
        <v>0.0206666666666667</v>
      </c>
      <c r="S9" s="18">
        <v>5000</v>
      </c>
    </row>
    <row r="10" s="2" customFormat="1" customHeight="1" spans="1:19">
      <c r="A10" s="33"/>
      <c r="B10" s="33"/>
      <c r="C10" s="34"/>
      <c r="D10" s="10"/>
      <c r="E10" s="35"/>
      <c r="F10" s="93"/>
      <c r="G10" s="51"/>
      <c r="H10" s="38">
        <f t="shared" si="1"/>
        <v>0</v>
      </c>
      <c r="I10" s="46"/>
      <c r="J10" s="40" t="s">
        <v>98</v>
      </c>
      <c r="K10" s="40" t="s">
        <v>43</v>
      </c>
      <c r="L10" s="18"/>
      <c r="M10" s="18"/>
      <c r="N10" s="18"/>
      <c r="O10" s="18">
        <v>0.1</v>
      </c>
      <c r="P10" s="16">
        <f t="shared" si="0"/>
        <v>1033.33333333333</v>
      </c>
      <c r="Q10" s="41">
        <f>O10*P10</f>
        <v>103.333333333333</v>
      </c>
      <c r="R10" s="28">
        <f t="shared" si="2"/>
        <v>0.0206666666666667</v>
      </c>
      <c r="S10" s="18">
        <v>5000</v>
      </c>
    </row>
    <row r="11" s="2" customFormat="1" customHeight="1" spans="1:19">
      <c r="A11" s="44"/>
      <c r="B11" s="55"/>
      <c r="C11" s="34"/>
      <c r="D11" s="10"/>
      <c r="E11" s="35"/>
      <c r="F11" s="93"/>
      <c r="G11" s="56"/>
      <c r="H11" s="38">
        <f t="shared" si="1"/>
        <v>0</v>
      </c>
      <c r="J11" s="9" t="s">
        <v>48</v>
      </c>
      <c r="K11" s="9"/>
      <c r="L11" s="52"/>
      <c r="M11" s="52"/>
      <c r="N11" s="52"/>
      <c r="O11" s="52"/>
      <c r="P11" s="52"/>
      <c r="Q11" s="53">
        <f>SUM(Q2:Q9)</f>
        <v>2245.79760106667</v>
      </c>
      <c r="R11" s="54">
        <f>SUM(R2:R9)</f>
        <v>0.469170712533333</v>
      </c>
      <c r="S11" s="18">
        <v>5000</v>
      </c>
    </row>
    <row r="12" s="2" customFormat="1" customHeight="1" spans="1:19">
      <c r="A12" s="44"/>
      <c r="B12" s="55"/>
      <c r="C12" s="34"/>
      <c r="D12" s="10"/>
      <c r="E12" s="35"/>
      <c r="F12" s="93"/>
      <c r="G12" s="56"/>
      <c r="H12" s="38">
        <f t="shared" si="1"/>
        <v>0</v>
      </c>
      <c r="J12" s="57"/>
      <c r="K12" s="58"/>
      <c r="L12" s="52"/>
      <c r="M12" s="52"/>
      <c r="N12" s="52" t="s">
        <v>52</v>
      </c>
      <c r="O12" s="10" t="s">
        <v>53</v>
      </c>
      <c r="P12" s="59"/>
      <c r="Q12" s="60">
        <v>1.2</v>
      </c>
      <c r="R12" s="54">
        <f>R11*Q12</f>
        <v>0.56300485504</v>
      </c>
      <c r="S12" s="52"/>
    </row>
    <row r="13" s="2" customFormat="1" customHeight="1" spans="1:19">
      <c r="A13" s="44"/>
      <c r="B13" s="49"/>
      <c r="C13" s="34"/>
      <c r="D13" s="10"/>
      <c r="E13" s="35"/>
      <c r="F13" s="93"/>
      <c r="G13" s="37"/>
      <c r="H13" s="38">
        <f t="shared" si="1"/>
        <v>0</v>
      </c>
      <c r="J13" s="9" t="s">
        <v>2</v>
      </c>
      <c r="K13" s="9" t="s">
        <v>3</v>
      </c>
      <c r="L13" s="10" t="s">
        <v>4</v>
      </c>
      <c r="M13" s="10" t="s">
        <v>5</v>
      </c>
      <c r="N13" s="10" t="s">
        <v>6</v>
      </c>
      <c r="O13" s="10" t="s">
        <v>7</v>
      </c>
      <c r="P13" s="11" t="s">
        <v>8</v>
      </c>
      <c r="Q13" s="10" t="s">
        <v>9</v>
      </c>
      <c r="R13" s="10" t="s">
        <v>10</v>
      </c>
      <c r="S13" s="10" t="s">
        <v>11</v>
      </c>
    </row>
    <row r="14" s="1" customFormat="1" customHeight="1" spans="1:19">
      <c r="A14" s="61" t="s">
        <v>65</v>
      </c>
      <c r="B14" s="62"/>
      <c r="C14" s="62"/>
      <c r="D14" s="62"/>
      <c r="E14" s="62"/>
      <c r="F14" s="62"/>
      <c r="G14" s="62"/>
      <c r="H14" s="63"/>
      <c r="I14" s="64"/>
      <c r="J14" s="14" t="s">
        <v>13</v>
      </c>
      <c r="K14" s="14"/>
      <c r="L14" s="15">
        <v>300</v>
      </c>
      <c r="M14" s="15">
        <f t="shared" ref="M14:M17" si="3">(9.2+2.8+9.2+2.8+2+2)*2</f>
        <v>56</v>
      </c>
      <c r="N14" s="15">
        <f t="shared" ref="N14:N17" si="4">(2+2.8+9.2+2+2.8+3)*3+2</f>
        <v>67.4</v>
      </c>
      <c r="O14" s="15">
        <v>4170</v>
      </c>
      <c r="P14" s="16">
        <f>15000/6+200</f>
        <v>2700</v>
      </c>
      <c r="Q14" s="16">
        <f>L14*M14*N14*O14*P14/10000000000</f>
        <v>1274.879088</v>
      </c>
      <c r="R14" s="17">
        <f t="shared" ref="R14:R17" si="5">Q14/S14</f>
        <v>0.0849919392</v>
      </c>
      <c r="S14" s="18">
        <v>15000</v>
      </c>
    </row>
    <row r="15" s="1" customFormat="1" ht="68" customHeight="1" spans="1:19">
      <c r="A15" s="65" t="s">
        <v>66</v>
      </c>
      <c r="B15" s="65"/>
      <c r="C15" s="65"/>
      <c r="D15" s="65"/>
      <c r="E15" s="65"/>
      <c r="F15" s="65"/>
      <c r="G15" s="65"/>
      <c r="H15" s="63"/>
      <c r="I15" s="63"/>
      <c r="J15" s="14" t="s">
        <v>13</v>
      </c>
      <c r="K15" s="14"/>
      <c r="L15" s="15">
        <v>300</v>
      </c>
      <c r="M15" s="15">
        <f t="shared" si="3"/>
        <v>56</v>
      </c>
      <c r="N15" s="15">
        <f t="shared" si="4"/>
        <v>67.4</v>
      </c>
      <c r="O15" s="15">
        <v>4170</v>
      </c>
      <c r="P15" s="16">
        <f t="shared" ref="P15:P22" si="6">15000/6+200</f>
        <v>2700</v>
      </c>
      <c r="Q15" s="16">
        <f>L15*M15*N15*O15*P15/10000000000</f>
        <v>1274.879088</v>
      </c>
      <c r="R15" s="17">
        <f t="shared" si="5"/>
        <v>0.0849919392</v>
      </c>
      <c r="S15" s="18">
        <v>15000</v>
      </c>
    </row>
    <row r="16" s="1" customFormat="1" customHeight="1" spans="1:19">
      <c r="C16" s="1" t="s">
        <v>80</v>
      </c>
      <c r="H16" s="3"/>
      <c r="I16" s="3"/>
      <c r="J16" s="25" t="s">
        <v>86</v>
      </c>
      <c r="K16" s="26"/>
      <c r="L16" s="18">
        <v>1</v>
      </c>
      <c r="M16" s="15">
        <f t="shared" si="3"/>
        <v>56</v>
      </c>
      <c r="N16" s="15">
        <f t="shared" si="4"/>
        <v>67.4</v>
      </c>
      <c r="O16" s="18">
        <v>0.0465</v>
      </c>
      <c r="P16" s="16">
        <f t="shared" si="6"/>
        <v>2700</v>
      </c>
      <c r="Q16" s="27">
        <f>L16*M16*N16*O16*P16/1000</f>
        <v>473.87592</v>
      </c>
      <c r="R16" s="28">
        <f t="shared" si="5"/>
        <v>0.031591728</v>
      </c>
      <c r="S16" s="18">
        <v>15000</v>
      </c>
    </row>
    <row r="17" s="1" customFormat="1" customHeight="1" spans="3:19">
      <c r="C17" s="1" t="s">
        <v>81</v>
      </c>
      <c r="H17" s="3"/>
      <c r="I17" s="3"/>
      <c r="J17" s="26" t="s">
        <v>31</v>
      </c>
      <c r="K17" s="26"/>
      <c r="L17" s="18">
        <v>1</v>
      </c>
      <c r="M17" s="15">
        <f t="shared" si="3"/>
        <v>56</v>
      </c>
      <c r="N17" s="15">
        <f t="shared" si="4"/>
        <v>67.4</v>
      </c>
      <c r="O17" s="18">
        <v>0.028</v>
      </c>
      <c r="P17" s="16">
        <f t="shared" si="6"/>
        <v>2700</v>
      </c>
      <c r="Q17" s="27">
        <f>L17*M17*N17*O17*P17/1000</f>
        <v>285.34464</v>
      </c>
      <c r="R17" s="28">
        <f t="shared" si="5"/>
        <v>0.019022976</v>
      </c>
      <c r="S17" s="18">
        <v>15000</v>
      </c>
    </row>
    <row r="18" s="1" customFormat="1" customHeight="1" spans="3:19">
      <c r="H18" s="3"/>
      <c r="I18" s="3"/>
      <c r="J18" s="40" t="s">
        <v>97</v>
      </c>
      <c r="K18" s="43"/>
      <c r="L18" s="43">
        <v>0.2</v>
      </c>
      <c r="M18" s="95">
        <v>0.08</v>
      </c>
      <c r="N18" s="95">
        <v>0.08</v>
      </c>
      <c r="O18" s="95">
        <v>14</v>
      </c>
      <c r="P18" s="16">
        <f t="shared" si="6"/>
        <v>2700</v>
      </c>
      <c r="Q18" s="95">
        <f>R18*P18</f>
        <v>68.1053184</v>
      </c>
      <c r="R18" s="28">
        <f>L18*M18*N18*O18*1.38*1.02</f>
        <v>0.025224192</v>
      </c>
      <c r="S18" s="18">
        <v>15000</v>
      </c>
    </row>
    <row r="19" s="1" customFormat="1" customHeight="1" spans="3:19">
      <c r="H19" s="3"/>
      <c r="I19" s="3"/>
      <c r="J19" s="40" t="s">
        <v>40</v>
      </c>
      <c r="K19" s="40"/>
      <c r="L19" s="18"/>
      <c r="M19" s="18"/>
      <c r="N19" s="18"/>
      <c r="O19" s="18"/>
      <c r="P19" s="16">
        <f t="shared" si="6"/>
        <v>2700</v>
      </c>
      <c r="Q19" s="41">
        <v>1000</v>
      </c>
      <c r="R19" s="28">
        <f t="shared" ref="R19:R22" si="7">Q19/S19</f>
        <v>0.0666666666666667</v>
      </c>
      <c r="S19" s="18">
        <v>15000</v>
      </c>
    </row>
    <row r="20" s="1" customFormat="1" customHeight="1" spans="3:19">
      <c r="H20" s="3"/>
      <c r="I20" s="3"/>
      <c r="J20" s="43" t="s">
        <v>22</v>
      </c>
      <c r="K20" s="40"/>
      <c r="L20" s="18"/>
      <c r="M20" s="18"/>
      <c r="N20" s="18"/>
      <c r="O20" s="18"/>
      <c r="P20" s="16">
        <f t="shared" si="6"/>
        <v>2700</v>
      </c>
      <c r="Q20" s="41">
        <v>250</v>
      </c>
      <c r="R20" s="28">
        <f t="shared" si="7"/>
        <v>0.0166666666666667</v>
      </c>
      <c r="S20" s="18">
        <v>15000</v>
      </c>
    </row>
    <row r="21" s="1" customFormat="1" customHeight="1" spans="3:19">
      <c r="H21" s="3"/>
      <c r="I21" s="3"/>
      <c r="J21" s="14" t="s">
        <v>32</v>
      </c>
      <c r="K21" s="47" t="s">
        <v>33</v>
      </c>
      <c r="L21" s="15" t="s">
        <v>34</v>
      </c>
      <c r="M21" s="15"/>
      <c r="N21" s="15" t="s">
        <v>35</v>
      </c>
      <c r="O21" s="15">
        <v>0.1</v>
      </c>
      <c r="P21" s="16">
        <f t="shared" si="6"/>
        <v>2700</v>
      </c>
      <c r="Q21" s="16">
        <f>O21*P21</f>
        <v>270</v>
      </c>
      <c r="R21" s="17">
        <f t="shared" si="7"/>
        <v>0.018</v>
      </c>
      <c r="S21" s="18">
        <v>15000</v>
      </c>
    </row>
    <row r="22" s="1" customFormat="1" customHeight="1" spans="3:19">
      <c r="H22" s="3"/>
      <c r="I22" s="3"/>
      <c r="J22" s="40" t="s">
        <v>98</v>
      </c>
      <c r="K22" s="40" t="s">
        <v>43</v>
      </c>
      <c r="L22" s="18"/>
      <c r="M22" s="18"/>
      <c r="N22" s="18"/>
      <c r="O22" s="18">
        <v>0.1</v>
      </c>
      <c r="P22" s="16">
        <f t="shared" si="6"/>
        <v>2700</v>
      </c>
      <c r="Q22" s="41">
        <f>O22*P22</f>
        <v>270</v>
      </c>
      <c r="R22" s="28">
        <f t="shared" si="7"/>
        <v>0.018</v>
      </c>
      <c r="S22" s="18">
        <v>15000</v>
      </c>
    </row>
    <row r="23" s="1" customFormat="1" customHeight="1" spans="3:19">
      <c r="H23" s="3"/>
      <c r="I23" s="3"/>
      <c r="J23" s="9" t="s">
        <v>48</v>
      </c>
      <c r="K23" s="9"/>
      <c r="L23" s="52"/>
      <c r="M23" s="52"/>
      <c r="N23" s="52"/>
      <c r="O23" s="52"/>
      <c r="P23" s="52"/>
      <c r="Q23" s="53">
        <f>SUM(Q14:Q21)</f>
        <v>4897.0840544</v>
      </c>
      <c r="R23" s="54">
        <f>SUM(R14:R21)</f>
        <v>0.347156107733333</v>
      </c>
      <c r="S23" s="18">
        <v>15000</v>
      </c>
    </row>
    <row r="24" s="1" customFormat="1" customHeight="1" spans="3:19">
      <c r="H24" s="3"/>
      <c r="I24" s="3"/>
      <c r="J24" s="57"/>
      <c r="K24" s="58"/>
      <c r="L24" s="52"/>
      <c r="M24" s="52"/>
      <c r="N24" s="52" t="s">
        <v>52</v>
      </c>
      <c r="O24" s="10" t="s">
        <v>53</v>
      </c>
      <c r="P24" s="59"/>
      <c r="Q24" s="60">
        <v>1.2</v>
      </c>
      <c r="R24" s="54">
        <f>R23*Q24</f>
        <v>0.41658732928</v>
      </c>
      <c r="S24" s="52"/>
    </row>
    <row r="25" s="1" customFormat="1" customHeight="1" spans="3:19">
      <c r="H25" s="3"/>
      <c r="I25" s="3"/>
      <c r="J25" s="9" t="s">
        <v>2</v>
      </c>
      <c r="K25" s="9" t="s">
        <v>3</v>
      </c>
      <c r="L25" s="10" t="s">
        <v>4</v>
      </c>
      <c r="M25" s="10" t="s">
        <v>5</v>
      </c>
      <c r="N25" s="10" t="s">
        <v>6</v>
      </c>
      <c r="O25" s="10" t="s">
        <v>7</v>
      </c>
      <c r="P25" s="11" t="s">
        <v>8</v>
      </c>
      <c r="Q25" s="10" t="s">
        <v>9</v>
      </c>
      <c r="R25" s="10" t="s">
        <v>10</v>
      </c>
      <c r="S25" s="10" t="s">
        <v>11</v>
      </c>
    </row>
    <row r="26" s="1" customFormat="1" customHeight="1" spans="3:19">
      <c r="H26" s="3"/>
      <c r="I26" s="3"/>
      <c r="J26" s="14" t="s">
        <v>13</v>
      </c>
      <c r="K26" s="14"/>
      <c r="L26" s="15">
        <v>300</v>
      </c>
      <c r="M26" s="15">
        <f t="shared" ref="M26:M29" si="8">(9.2+2.8+9.2+2.8+2+2)*2</f>
        <v>56</v>
      </c>
      <c r="N26" s="15">
        <f t="shared" ref="N26:N29" si="9">(2+2.8+9.2+2+2.8+3)*3+2</f>
        <v>67.4</v>
      </c>
      <c r="O26" s="15">
        <v>4170</v>
      </c>
      <c r="P26" s="16">
        <f>35000/6+200</f>
        <v>6033.33333333333</v>
      </c>
      <c r="Q26" s="16">
        <f>L26*M26*N26*O26*P26/10000000000</f>
        <v>2848.803888</v>
      </c>
      <c r="R26" s="17">
        <f t="shared" ref="R26:R29" si="10">Q26/S26</f>
        <v>0.0813943968</v>
      </c>
      <c r="S26" s="18">
        <v>35000</v>
      </c>
    </row>
    <row r="27" s="1" customFormat="1" customHeight="1" spans="3:19">
      <c r="H27" s="3"/>
      <c r="I27" s="3"/>
      <c r="J27" s="14" t="s">
        <v>13</v>
      </c>
      <c r="K27" s="14"/>
      <c r="L27" s="15">
        <v>300</v>
      </c>
      <c r="M27" s="15">
        <f t="shared" si="8"/>
        <v>56</v>
      </c>
      <c r="N27" s="15">
        <f t="shared" si="9"/>
        <v>67.4</v>
      </c>
      <c r="O27" s="15">
        <v>4170</v>
      </c>
      <c r="P27" s="16">
        <f t="shared" ref="P27:P34" si="11">35000/6+200</f>
        <v>6033.33333333333</v>
      </c>
      <c r="Q27" s="16">
        <f>L27*M27*N27*O27*P27/10000000000</f>
        <v>2848.803888</v>
      </c>
      <c r="R27" s="17">
        <f t="shared" si="10"/>
        <v>0.0813943968</v>
      </c>
      <c r="S27" s="18">
        <v>35000</v>
      </c>
    </row>
    <row r="28" s="1" customFormat="1" customHeight="1" spans="3:19">
      <c r="H28" s="3"/>
      <c r="I28" s="3"/>
      <c r="J28" s="25" t="s">
        <v>86</v>
      </c>
      <c r="K28" s="26"/>
      <c r="L28" s="18">
        <v>1</v>
      </c>
      <c r="M28" s="15">
        <f t="shared" si="8"/>
        <v>56</v>
      </c>
      <c r="N28" s="15">
        <f t="shared" si="9"/>
        <v>67.4</v>
      </c>
      <c r="O28" s="18">
        <v>0.0465</v>
      </c>
      <c r="P28" s="16">
        <f t="shared" si="11"/>
        <v>6033.33333333333</v>
      </c>
      <c r="Q28" s="27">
        <f>L28*M28*N28*O28*P28/1000</f>
        <v>1058.90792</v>
      </c>
      <c r="R28" s="28">
        <f t="shared" si="10"/>
        <v>0.030254512</v>
      </c>
      <c r="S28" s="18">
        <v>35000</v>
      </c>
    </row>
    <row r="29" s="1" customFormat="1" customHeight="1" spans="3:19">
      <c r="H29" s="3"/>
      <c r="I29" s="3"/>
      <c r="J29" s="26" t="s">
        <v>31</v>
      </c>
      <c r="K29" s="26"/>
      <c r="L29" s="18">
        <v>1</v>
      </c>
      <c r="M29" s="15">
        <f t="shared" si="8"/>
        <v>56</v>
      </c>
      <c r="N29" s="15">
        <f t="shared" si="9"/>
        <v>67.4</v>
      </c>
      <c r="O29" s="18">
        <v>0.028</v>
      </c>
      <c r="P29" s="16">
        <f t="shared" si="11"/>
        <v>6033.33333333333</v>
      </c>
      <c r="Q29" s="27">
        <f>L29*M29*N29*O29*P29/1000</f>
        <v>637.621973333333</v>
      </c>
      <c r="R29" s="28">
        <f t="shared" si="10"/>
        <v>0.0182177706666667</v>
      </c>
      <c r="S29" s="18">
        <v>35000</v>
      </c>
    </row>
    <row r="30" s="1" customFormat="1" customHeight="1" spans="3:19">
      <c r="H30" s="3"/>
      <c r="I30" s="3"/>
      <c r="J30" s="40" t="s">
        <v>97</v>
      </c>
      <c r="K30" s="43"/>
      <c r="L30" s="43">
        <v>0.2</v>
      </c>
      <c r="M30" s="95">
        <v>0.08</v>
      </c>
      <c r="N30" s="95">
        <v>0.08</v>
      </c>
      <c r="O30" s="95">
        <v>14</v>
      </c>
      <c r="P30" s="16">
        <f t="shared" si="11"/>
        <v>6033.33333333333</v>
      </c>
      <c r="Q30" s="95">
        <f>R30*P30</f>
        <v>152.1859584</v>
      </c>
      <c r="R30" s="28">
        <f>L30*M30*N30*O30*1.38*1.02</f>
        <v>0.025224192</v>
      </c>
      <c r="S30" s="18">
        <v>35000</v>
      </c>
    </row>
    <row r="31" s="1" customFormat="1" customHeight="1" spans="3:19">
      <c r="H31" s="3"/>
      <c r="I31" s="3"/>
      <c r="J31" s="40" t="s">
        <v>40</v>
      </c>
      <c r="K31" s="40"/>
      <c r="L31" s="18"/>
      <c r="M31" s="18"/>
      <c r="N31" s="18"/>
      <c r="O31" s="18"/>
      <c r="P31" s="16">
        <f t="shared" si="11"/>
        <v>6033.33333333333</v>
      </c>
      <c r="Q31" s="41">
        <f>500+(P26*0.12)</f>
        <v>1224</v>
      </c>
      <c r="R31" s="28">
        <f t="shared" ref="R31:R34" si="12">Q31/S31</f>
        <v>0.0349714285714286</v>
      </c>
      <c r="S31" s="18">
        <v>35000</v>
      </c>
    </row>
    <row r="32" s="1" customFormat="1" customHeight="1" spans="3:19">
      <c r="H32" s="3"/>
      <c r="I32" s="3"/>
      <c r="J32" s="43" t="s">
        <v>22</v>
      </c>
      <c r="K32" s="40"/>
      <c r="L32" s="18"/>
      <c r="M32" s="18"/>
      <c r="N32" s="18"/>
      <c r="O32" s="18"/>
      <c r="P32" s="16">
        <f t="shared" si="11"/>
        <v>6033.33333333333</v>
      </c>
      <c r="Q32" s="41">
        <v>250</v>
      </c>
      <c r="R32" s="28">
        <f t="shared" si="12"/>
        <v>0.00714285714285714</v>
      </c>
      <c r="S32" s="18">
        <v>35000</v>
      </c>
    </row>
    <row r="33" s="1" customFormat="1" customHeight="1" spans="8:19">
      <c r="H33" s="3"/>
      <c r="I33" s="3"/>
      <c r="J33" s="14" t="s">
        <v>32</v>
      </c>
      <c r="K33" s="47" t="s">
        <v>33</v>
      </c>
      <c r="L33" s="15" t="s">
        <v>34</v>
      </c>
      <c r="M33" s="15"/>
      <c r="N33" s="15" t="s">
        <v>35</v>
      </c>
      <c r="O33" s="15">
        <v>0.1</v>
      </c>
      <c r="P33" s="16">
        <f t="shared" si="11"/>
        <v>6033.33333333333</v>
      </c>
      <c r="Q33" s="16">
        <f>O33*P33</f>
        <v>603.333333333333</v>
      </c>
      <c r="R33" s="17">
        <f t="shared" si="12"/>
        <v>0.0172380952380952</v>
      </c>
      <c r="S33" s="18">
        <v>35000</v>
      </c>
    </row>
    <row r="34" s="1" customFormat="1" customHeight="1" spans="8:19">
      <c r="H34" s="3"/>
      <c r="I34" s="3"/>
      <c r="J34" s="40" t="s">
        <v>98</v>
      </c>
      <c r="K34" s="40" t="s">
        <v>43</v>
      </c>
      <c r="L34" s="18"/>
      <c r="M34" s="18"/>
      <c r="N34" s="18"/>
      <c r="O34" s="18">
        <v>0.1</v>
      </c>
      <c r="P34" s="16">
        <f t="shared" si="11"/>
        <v>6033.33333333333</v>
      </c>
      <c r="Q34" s="41">
        <f>O34*P34</f>
        <v>603.333333333333</v>
      </c>
      <c r="R34" s="28">
        <f t="shared" si="12"/>
        <v>0.0172380952380952</v>
      </c>
      <c r="S34" s="18">
        <v>35000</v>
      </c>
    </row>
    <row r="35" s="1" customFormat="1" customHeight="1" spans="8:19">
      <c r="H35" s="3"/>
      <c r="I35" s="3"/>
      <c r="J35" s="9" t="s">
        <v>48</v>
      </c>
      <c r="K35" s="9"/>
      <c r="L35" s="52"/>
      <c r="M35" s="52"/>
      <c r="N35" s="52"/>
      <c r="O35" s="52"/>
      <c r="P35" s="52"/>
      <c r="Q35" s="53">
        <f>SUM(Q26:Q33)</f>
        <v>9623.65696106667</v>
      </c>
      <c r="R35" s="54">
        <f>SUM(R26:R33)</f>
        <v>0.295837649219048</v>
      </c>
      <c r="S35" s="18">
        <v>35000</v>
      </c>
    </row>
    <row r="36" s="1" customFormat="1" customHeight="1" spans="8:19">
      <c r="H36" s="3"/>
      <c r="I36" s="3"/>
      <c r="J36" s="57"/>
      <c r="K36" s="58"/>
      <c r="L36" s="52"/>
      <c r="M36" s="52"/>
      <c r="N36" s="52" t="s">
        <v>52</v>
      </c>
      <c r="O36" s="10" t="s">
        <v>53</v>
      </c>
      <c r="P36" s="59"/>
      <c r="Q36" s="60">
        <v>1.2</v>
      </c>
      <c r="R36" s="54">
        <f>R35*Q36</f>
        <v>0.355005179062857</v>
      </c>
      <c r="S36" s="52"/>
    </row>
    <row r="37" s="1" customFormat="1" customHeight="1" spans="8:19">
      <c r="H37" s="3"/>
      <c r="I37" s="3"/>
      <c r="J37" s="78"/>
      <c r="K37" s="78"/>
      <c r="L37" s="76"/>
      <c r="M37" s="73"/>
      <c r="N37" s="73"/>
      <c r="O37" s="76"/>
      <c r="P37" s="73"/>
      <c r="Q37" s="79"/>
      <c r="R37" s="80"/>
      <c r="S37" s="76"/>
    </row>
    <row r="38" s="1" customFormat="1" customHeight="1" spans="8:19">
      <c r="H38" s="3"/>
      <c r="I38" s="3"/>
      <c r="J38" s="78"/>
      <c r="K38" s="78"/>
      <c r="L38" s="76"/>
      <c r="M38" s="73"/>
      <c r="N38" s="73"/>
      <c r="O38" s="76"/>
      <c r="P38" s="73"/>
      <c r="Q38" s="79"/>
      <c r="R38" s="80"/>
      <c r="S38" s="76"/>
    </row>
    <row r="39" s="1" customFormat="1" customHeight="1" spans="8:19">
      <c r="H39" s="3"/>
      <c r="I39" s="3"/>
      <c r="J39" s="81"/>
      <c r="K39" s="81"/>
      <c r="L39" s="76"/>
      <c r="M39" s="76"/>
      <c r="N39" s="76"/>
      <c r="O39" s="76"/>
      <c r="P39" s="73"/>
      <c r="Q39" s="84"/>
      <c r="R39" s="80"/>
      <c r="S39" s="76"/>
    </row>
    <row r="40" s="1" customFormat="1" customHeight="1" spans="8:19">
      <c r="H40" s="3"/>
      <c r="I40" s="3"/>
      <c r="J40" s="82"/>
      <c r="K40" s="81"/>
      <c r="L40" s="76"/>
      <c r="M40" s="76"/>
      <c r="N40" s="76"/>
      <c r="O40" s="76"/>
      <c r="P40" s="73"/>
      <c r="Q40" s="84"/>
      <c r="R40" s="80"/>
      <c r="S40" s="76"/>
    </row>
    <row r="41" s="1" customFormat="1" customHeight="1" spans="8:19">
      <c r="H41" s="3"/>
      <c r="I41" s="3"/>
      <c r="J41" s="4"/>
      <c r="K41" s="85"/>
      <c r="L41" s="73"/>
      <c r="M41" s="73"/>
      <c r="N41" s="73"/>
      <c r="O41" s="73"/>
      <c r="P41" s="73"/>
      <c r="Q41" s="74"/>
      <c r="R41" s="75"/>
      <c r="S41" s="76"/>
    </row>
    <row r="42" s="1" customFormat="1" customHeight="1" spans="8:19">
      <c r="H42" s="3"/>
      <c r="I42" s="3"/>
      <c r="J42" s="70"/>
      <c r="K42" s="70"/>
      <c r="L42" s="86"/>
      <c r="M42" s="86"/>
      <c r="N42" s="86"/>
      <c r="O42" s="86"/>
      <c r="P42" s="86"/>
      <c r="Q42" s="87"/>
      <c r="R42" s="88"/>
      <c r="S42" s="76"/>
    </row>
    <row r="43" s="1" customFormat="1" customHeight="1" spans="8:19">
      <c r="H43" s="3"/>
      <c r="I43" s="3"/>
      <c r="J43" s="89"/>
      <c r="K43" s="90"/>
      <c r="L43" s="86"/>
      <c r="M43" s="86"/>
      <c r="N43" s="86"/>
      <c r="O43" s="71"/>
      <c r="P43" s="91"/>
      <c r="Q43" s="92"/>
      <c r="R43" s="88"/>
      <c r="S43" s="86"/>
    </row>
  </sheetData>
  <mergeCells count="5">
    <mergeCell ref="A1:F1"/>
    <mergeCell ref="A2:G2"/>
    <mergeCell ref="A3:G3"/>
    <mergeCell ref="A14:G14"/>
    <mergeCell ref="A15:G15"/>
  </mergeCells>
  <pageMargins left="0.75" right="0.75" top="1" bottom="1" header="0.5" footer="0.5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3"/>
  <sheetViews>
    <sheetView workbookViewId="0">
      <selection activeCell="E11" sqref="E11"/>
    </sheetView>
  </sheetViews>
  <sheetFormatPr defaultColWidth="9" defaultRowHeight="41" customHeight="1"/>
  <cols>
    <col min="1" max="1" width="12.625" style="1" customWidth="1"/>
    <col min="2" max="2" width="14.35" style="1" customWidth="1"/>
    <col min="3" max="3" width="19.25" style="1" customWidth="1"/>
    <col min="4" max="4" width="8.09166666666667" style="1" customWidth="1"/>
    <col min="5" max="5" width="9.25833333333333" style="1" customWidth="1"/>
    <col min="6" max="6" width="10.4333333333333" style="1" customWidth="1"/>
    <col min="7" max="7" width="12.875" style="1" customWidth="1"/>
    <col min="8" max="8" width="6.4" style="3" customWidth="1"/>
    <col min="9" max="9" width="8.75" style="3" customWidth="1"/>
    <col min="10" max="10" width="14.375" style="4" customWidth="1"/>
    <col min="11" max="11" width="9.5" style="4" customWidth="1"/>
    <col min="12" max="12" width="9" style="5"/>
    <col min="13" max="13" width="14.125" style="5"/>
    <col min="14" max="15" width="9" style="5"/>
    <col min="16" max="16" width="10.375" style="5" customWidth="1"/>
    <col min="17" max="17" width="8.75" style="5" customWidth="1"/>
    <col min="18" max="19" width="9" style="5"/>
    <col min="20" max="16384" width="9" style="1"/>
  </cols>
  <sheetData>
    <row r="1" s="1" customFormat="1" customHeight="1" spans="1:19">
      <c r="A1" s="6" t="s">
        <v>0</v>
      </c>
      <c r="B1" s="6"/>
      <c r="C1" s="6"/>
      <c r="D1" s="6"/>
      <c r="E1" s="6"/>
      <c r="F1" s="6"/>
      <c r="G1" s="7" t="s">
        <v>1</v>
      </c>
      <c r="H1" s="3"/>
      <c r="I1" s="8" t="s">
        <v>82</v>
      </c>
      <c r="J1" s="9" t="s">
        <v>2</v>
      </c>
      <c r="K1" s="9" t="s">
        <v>3</v>
      </c>
      <c r="L1" s="10" t="s">
        <v>4</v>
      </c>
      <c r="M1" s="10" t="s">
        <v>5</v>
      </c>
      <c r="N1" s="10" t="s">
        <v>6</v>
      </c>
      <c r="O1" s="10" t="s">
        <v>7</v>
      </c>
      <c r="P1" s="11" t="s">
        <v>8</v>
      </c>
      <c r="Q1" s="10" t="s">
        <v>9</v>
      </c>
      <c r="R1" s="10" t="s">
        <v>10</v>
      </c>
      <c r="S1" s="10" t="s">
        <v>11</v>
      </c>
    </row>
    <row r="2" s="1" customFormat="1" customHeight="1" spans="1:19">
      <c r="A2" s="12" t="s">
        <v>12</v>
      </c>
      <c r="B2" s="12"/>
      <c r="C2" s="12"/>
      <c r="D2" s="12"/>
      <c r="E2" s="12"/>
      <c r="F2" s="12"/>
      <c r="G2" s="12"/>
      <c r="H2" s="3"/>
      <c r="I2" s="13" t="s">
        <v>83</v>
      </c>
      <c r="J2" s="14" t="s">
        <v>13</v>
      </c>
      <c r="K2" s="14"/>
      <c r="L2" s="15">
        <v>400</v>
      </c>
      <c r="M2" s="15">
        <f>70</f>
        <v>70</v>
      </c>
      <c r="N2" s="15">
        <v>54.5</v>
      </c>
      <c r="O2" s="15">
        <v>3800</v>
      </c>
      <c r="P2" s="15">
        <v>1160</v>
      </c>
      <c r="Q2" s="16">
        <f>L2*M2*N2*O2*P2/10000000000</f>
        <v>672.6608</v>
      </c>
      <c r="R2" s="17">
        <f>Q2/S2</f>
        <v>0.6726608</v>
      </c>
      <c r="S2" s="18">
        <v>1000</v>
      </c>
    </row>
    <row r="3" s="1" customFormat="1" customHeight="1" spans="1:19">
      <c r="A3" s="19" t="s">
        <v>14</v>
      </c>
      <c r="B3" s="19"/>
      <c r="C3" s="19"/>
      <c r="D3" s="19"/>
      <c r="E3" s="19"/>
      <c r="F3" s="19"/>
      <c r="G3" s="19"/>
      <c r="H3" s="3"/>
      <c r="I3" s="3" t="s">
        <v>15</v>
      </c>
      <c r="J3" s="25" t="s">
        <v>99</v>
      </c>
      <c r="K3" s="26"/>
      <c r="L3" s="18">
        <v>1</v>
      </c>
      <c r="M3" s="15">
        <f>70</f>
        <v>70</v>
      </c>
      <c r="N3" s="15">
        <v>54.5</v>
      </c>
      <c r="O3" s="18">
        <v>0.039</v>
      </c>
      <c r="P3" s="15">
        <v>1160</v>
      </c>
      <c r="Q3" s="27">
        <f>L3*M3*N3*O3*P3/1000</f>
        <v>172.5906</v>
      </c>
      <c r="R3" s="28">
        <f>Q3/S3</f>
        <v>0.1725906</v>
      </c>
      <c r="S3" s="18">
        <v>1000</v>
      </c>
    </row>
    <row r="4" s="1" customFormat="1" customHeight="1" spans="1:19">
      <c r="A4" s="20" t="s">
        <v>19</v>
      </c>
      <c r="B4" s="21" t="s">
        <v>100</v>
      </c>
      <c r="C4" s="20"/>
      <c r="D4" s="20"/>
      <c r="E4" s="20" t="s">
        <v>21</v>
      </c>
      <c r="F4" s="22"/>
      <c r="G4" s="23">
        <v>46114</v>
      </c>
      <c r="I4" s="24"/>
      <c r="J4" s="40" t="s">
        <v>40</v>
      </c>
      <c r="K4" s="40"/>
      <c r="L4" s="18"/>
      <c r="M4" s="18"/>
      <c r="N4" s="18"/>
      <c r="O4" s="18"/>
      <c r="P4" s="15">
        <v>1160</v>
      </c>
      <c r="Q4" s="41">
        <v>600</v>
      </c>
      <c r="R4" s="28">
        <f>Q4/S4</f>
        <v>0.6</v>
      </c>
      <c r="S4" s="18">
        <v>1000</v>
      </c>
    </row>
    <row r="5" s="1" customFormat="1" customHeight="1" spans="1:19">
      <c r="A5" s="29" t="s">
        <v>23</v>
      </c>
      <c r="B5" s="29" t="s">
        <v>24</v>
      </c>
      <c r="C5" s="30" t="s">
        <v>25</v>
      </c>
      <c r="D5" s="30" t="s">
        <v>26</v>
      </c>
      <c r="E5" s="30" t="s">
        <v>27</v>
      </c>
      <c r="F5" s="30" t="s">
        <v>28</v>
      </c>
      <c r="G5" s="29" t="s">
        <v>29</v>
      </c>
      <c r="I5" s="31" t="s">
        <v>30</v>
      </c>
      <c r="J5" s="43" t="s">
        <v>22</v>
      </c>
      <c r="K5" s="40"/>
      <c r="L5" s="18"/>
      <c r="M5" s="18"/>
      <c r="N5" s="18"/>
      <c r="O5" s="18"/>
      <c r="P5" s="15">
        <v>1160</v>
      </c>
      <c r="Q5" s="41">
        <v>200</v>
      </c>
      <c r="R5" s="28">
        <f>Q5/S5</f>
        <v>0.2</v>
      </c>
      <c r="S5" s="18">
        <v>1000</v>
      </c>
    </row>
    <row r="6" s="2" customFormat="1" customHeight="1" spans="1:19">
      <c r="A6" s="32" t="s">
        <v>101</v>
      </c>
      <c r="B6" s="33" t="s">
        <v>102</v>
      </c>
      <c r="C6" s="34" t="s">
        <v>103</v>
      </c>
      <c r="D6" s="10">
        <v>1000</v>
      </c>
      <c r="E6" s="35">
        <v>2.11</v>
      </c>
      <c r="F6" s="93">
        <f>D6*E6</f>
        <v>2110</v>
      </c>
      <c r="G6" s="37"/>
      <c r="H6" s="38">
        <f t="shared" ref="H6:H13" si="0">D6*E6</f>
        <v>2110</v>
      </c>
      <c r="I6" s="39" t="s">
        <v>90</v>
      </c>
      <c r="J6" s="14" t="s">
        <v>32</v>
      </c>
      <c r="K6" s="47" t="s">
        <v>33</v>
      </c>
      <c r="L6" s="15" t="s">
        <v>34</v>
      </c>
      <c r="M6" s="15"/>
      <c r="N6" s="15" t="s">
        <v>35</v>
      </c>
      <c r="O6" s="15">
        <v>0.1</v>
      </c>
      <c r="P6" s="15">
        <v>1160</v>
      </c>
      <c r="Q6" s="16">
        <f>O6*P6</f>
        <v>116</v>
      </c>
      <c r="R6" s="17">
        <f>Q6/S6</f>
        <v>0.116</v>
      </c>
      <c r="S6" s="18">
        <v>1000</v>
      </c>
    </row>
    <row r="7" s="2" customFormat="1" customHeight="1" spans="1:19">
      <c r="A7" s="33"/>
      <c r="B7" s="33"/>
      <c r="C7" s="34" t="s">
        <v>104</v>
      </c>
      <c r="D7" s="10">
        <v>1000</v>
      </c>
      <c r="E7" s="35">
        <v>2.06</v>
      </c>
      <c r="F7" s="93">
        <f>D7*E7</f>
        <v>2060</v>
      </c>
      <c r="G7" s="42"/>
      <c r="H7" s="38">
        <f t="shared" si="0"/>
        <v>2060</v>
      </c>
      <c r="I7" s="39"/>
      <c r="J7" s="9" t="s">
        <v>48</v>
      </c>
      <c r="K7" s="9"/>
      <c r="L7" s="52"/>
      <c r="M7" s="52"/>
      <c r="N7" s="52"/>
      <c r="O7" s="52"/>
      <c r="P7" s="52"/>
      <c r="Q7" s="53">
        <f>SUM(Q2:Q6)</f>
        <v>1761.2514</v>
      </c>
      <c r="R7" s="54">
        <f>SUM(R2:R6)</f>
        <v>1.7612514</v>
      </c>
      <c r="S7" s="18">
        <v>1000</v>
      </c>
    </row>
    <row r="8" s="2" customFormat="1" customHeight="1" spans="1:19">
      <c r="A8" s="44"/>
      <c r="B8" s="45"/>
      <c r="C8" s="34" t="s">
        <v>105</v>
      </c>
      <c r="D8" s="10">
        <v>1000</v>
      </c>
      <c r="E8" s="35">
        <v>2.45</v>
      </c>
      <c r="F8" s="93">
        <f>D8*E8</f>
        <v>2450</v>
      </c>
      <c r="G8" s="37"/>
      <c r="H8" s="38">
        <f t="shared" si="0"/>
        <v>2450</v>
      </c>
      <c r="I8" s="46"/>
      <c r="J8" s="57"/>
      <c r="K8" s="58"/>
      <c r="L8" s="52"/>
      <c r="M8" s="52"/>
      <c r="N8" s="52" t="s">
        <v>52</v>
      </c>
      <c r="O8" s="10" t="s">
        <v>53</v>
      </c>
      <c r="P8" s="59"/>
      <c r="Q8" s="60">
        <v>1.2</v>
      </c>
      <c r="R8" s="54">
        <f>R7*Q8</f>
        <v>2.11350168</v>
      </c>
      <c r="S8" s="52"/>
    </row>
    <row r="9" s="2" customFormat="1" customHeight="1" spans="1:19">
      <c r="A9" s="48"/>
      <c r="B9" s="49"/>
      <c r="C9" s="34" t="s">
        <v>106</v>
      </c>
      <c r="D9" s="10">
        <v>1000</v>
      </c>
      <c r="E9" s="35">
        <v>2.39</v>
      </c>
      <c r="F9" s="93">
        <f>D9*E9</f>
        <v>2390</v>
      </c>
      <c r="G9" s="50"/>
      <c r="H9" s="38">
        <f t="shared" si="0"/>
        <v>2390</v>
      </c>
      <c r="I9" s="46"/>
    </row>
    <row r="10" s="2" customFormat="1" customHeight="1" spans="1:19">
      <c r="A10" s="33"/>
      <c r="B10" s="33"/>
      <c r="C10" s="34" t="s">
        <v>91</v>
      </c>
      <c r="D10" s="10"/>
      <c r="E10" s="35"/>
      <c r="F10" s="93"/>
      <c r="G10" s="51"/>
      <c r="H10" s="38">
        <f t="shared" si="0"/>
        <v>0</v>
      </c>
      <c r="I10" s="46"/>
      <c r="J10" s="9" t="s">
        <v>2</v>
      </c>
      <c r="K10" s="9" t="s">
        <v>3</v>
      </c>
      <c r="L10" s="10" t="s">
        <v>4</v>
      </c>
      <c r="M10" s="10" t="s">
        <v>5</v>
      </c>
      <c r="N10" s="10" t="s">
        <v>6</v>
      </c>
      <c r="O10" s="10" t="s">
        <v>7</v>
      </c>
      <c r="P10" s="11" t="s">
        <v>8</v>
      </c>
      <c r="Q10" s="10" t="s">
        <v>9</v>
      </c>
      <c r="R10" s="10" t="s">
        <v>10</v>
      </c>
      <c r="S10" s="10" t="s">
        <v>11</v>
      </c>
    </row>
    <row r="11" s="2" customFormat="1" customHeight="1" spans="1:19">
      <c r="A11" s="44"/>
      <c r="B11" s="55"/>
      <c r="C11" s="34"/>
      <c r="D11" s="10"/>
      <c r="E11" s="35"/>
      <c r="F11" s="93"/>
      <c r="G11" s="56"/>
      <c r="H11" s="38">
        <f t="shared" si="0"/>
        <v>0</v>
      </c>
      <c r="J11" s="14" t="s">
        <v>13</v>
      </c>
      <c r="K11" s="14"/>
      <c r="L11" s="15">
        <v>250</v>
      </c>
      <c r="M11" s="15">
        <f>70</f>
        <v>70</v>
      </c>
      <c r="N11" s="15">
        <v>54.5</v>
      </c>
      <c r="O11" s="15">
        <v>4150</v>
      </c>
      <c r="P11" s="15">
        <v>1160</v>
      </c>
      <c r="Q11" s="16">
        <f>L11*M11*N11*O11*P11/10000000000</f>
        <v>459.13525</v>
      </c>
      <c r="R11" s="17">
        <f t="shared" ref="R11:R17" si="1">Q11/S11</f>
        <v>0.45913525</v>
      </c>
      <c r="S11" s="18">
        <v>1000</v>
      </c>
    </row>
    <row r="12" s="2" customFormat="1" customHeight="1" spans="1:19">
      <c r="A12" s="44"/>
      <c r="B12" s="55"/>
      <c r="C12" s="34"/>
      <c r="D12" s="10"/>
      <c r="E12" s="35"/>
      <c r="F12" s="93"/>
      <c r="G12" s="56"/>
      <c r="H12" s="38">
        <f t="shared" si="0"/>
        <v>0</v>
      </c>
      <c r="J12" s="40" t="s">
        <v>107</v>
      </c>
      <c r="K12" s="40"/>
      <c r="L12" s="18">
        <v>1</v>
      </c>
      <c r="M12" s="15">
        <f>70</f>
        <v>70</v>
      </c>
      <c r="N12" s="15">
        <v>54.5</v>
      </c>
      <c r="O12" s="18">
        <v>0.54</v>
      </c>
      <c r="P12" s="15">
        <v>1160</v>
      </c>
      <c r="Q12" s="41">
        <f>L12*M12/2.54*N12/2.54*O12*P12/1000</f>
        <v>370.406720813442</v>
      </c>
      <c r="R12" s="28">
        <f t="shared" si="1"/>
        <v>0.370406720813442</v>
      </c>
      <c r="S12" s="18">
        <v>1000</v>
      </c>
    </row>
    <row r="13" s="2" customFormat="1" customHeight="1" spans="1:19">
      <c r="A13" s="44"/>
      <c r="B13" s="49"/>
      <c r="C13" s="34"/>
      <c r="D13" s="10"/>
      <c r="E13" s="35"/>
      <c r="F13" s="93"/>
      <c r="G13" s="37"/>
      <c r="H13" s="38">
        <f t="shared" si="0"/>
        <v>0</v>
      </c>
      <c r="J13" s="26" t="s">
        <v>31</v>
      </c>
      <c r="K13" s="26"/>
      <c r="L13" s="18">
        <v>1</v>
      </c>
      <c r="M13" s="15">
        <f>70</f>
        <v>70</v>
      </c>
      <c r="N13" s="15">
        <v>54.5</v>
      </c>
      <c r="O13" s="18">
        <v>0.028</v>
      </c>
      <c r="P13" s="15">
        <v>1160</v>
      </c>
      <c r="Q13" s="27">
        <f>L13*M13*N13*O13*P13/1000</f>
        <v>123.9112</v>
      </c>
      <c r="R13" s="28">
        <f t="shared" si="1"/>
        <v>0.1239112</v>
      </c>
      <c r="S13" s="18">
        <v>1000</v>
      </c>
    </row>
    <row r="14" s="1" customFormat="1" customHeight="1" spans="1:19">
      <c r="A14" s="61" t="s">
        <v>65</v>
      </c>
      <c r="B14" s="62"/>
      <c r="C14" s="62"/>
      <c r="D14" s="62"/>
      <c r="E14" s="62"/>
      <c r="F14" s="62"/>
      <c r="G14" s="62"/>
      <c r="H14" s="63"/>
      <c r="I14" s="64"/>
      <c r="J14" s="25" t="s">
        <v>99</v>
      </c>
      <c r="K14" s="26"/>
      <c r="L14" s="18">
        <v>1</v>
      </c>
      <c r="M14" s="15">
        <f>70</f>
        <v>70</v>
      </c>
      <c r="N14" s="15">
        <v>54.5</v>
      </c>
      <c r="O14" s="18">
        <v>0.028</v>
      </c>
      <c r="P14" s="15">
        <v>1160</v>
      </c>
      <c r="Q14" s="27">
        <f>L14*M14*N14*O14*P14/1000</f>
        <v>123.9112</v>
      </c>
      <c r="R14" s="28">
        <f t="shared" si="1"/>
        <v>0.1239112</v>
      </c>
      <c r="S14" s="18">
        <v>1000</v>
      </c>
    </row>
    <row r="15" s="1" customFormat="1" ht="68" customHeight="1" spans="1:19">
      <c r="A15" s="65" t="s">
        <v>66</v>
      </c>
      <c r="B15" s="65"/>
      <c r="C15" s="65"/>
      <c r="D15" s="65"/>
      <c r="E15" s="65"/>
      <c r="F15" s="65"/>
      <c r="G15" s="65"/>
      <c r="H15" s="63"/>
      <c r="I15" s="63"/>
      <c r="J15" s="40" t="s">
        <v>40</v>
      </c>
      <c r="K15" s="40"/>
      <c r="L15" s="18"/>
      <c r="M15" s="18"/>
      <c r="N15" s="18"/>
      <c r="O15" s="18"/>
      <c r="P15" s="15">
        <v>1160</v>
      </c>
      <c r="Q15" s="41">
        <v>600</v>
      </c>
      <c r="R15" s="28">
        <f t="shared" si="1"/>
        <v>0.6</v>
      </c>
      <c r="S15" s="18">
        <v>1000</v>
      </c>
    </row>
    <row r="16" s="1" customFormat="1" customHeight="1" spans="1:19">
      <c r="C16" s="1" t="s">
        <v>80</v>
      </c>
      <c r="H16" s="3"/>
      <c r="I16" s="3"/>
      <c r="J16" s="43" t="s">
        <v>22</v>
      </c>
      <c r="K16" s="40"/>
      <c r="L16" s="18"/>
      <c r="M16" s="18"/>
      <c r="N16" s="18"/>
      <c r="O16" s="18"/>
      <c r="P16" s="15">
        <v>1160</v>
      </c>
      <c r="Q16" s="41">
        <v>200</v>
      </c>
      <c r="R16" s="28">
        <f t="shared" si="1"/>
        <v>0.2</v>
      </c>
      <c r="S16" s="18">
        <v>1000</v>
      </c>
    </row>
    <row r="17" s="1" customFormat="1" customHeight="1" spans="3:19">
      <c r="C17" s="1" t="s">
        <v>81</v>
      </c>
      <c r="H17" s="3"/>
      <c r="I17" s="3"/>
      <c r="J17" s="14" t="s">
        <v>32</v>
      </c>
      <c r="K17" s="47" t="s">
        <v>33</v>
      </c>
      <c r="L17" s="15" t="s">
        <v>34</v>
      </c>
      <c r="M17" s="15"/>
      <c r="N17" s="15" t="s">
        <v>35</v>
      </c>
      <c r="O17" s="15">
        <v>0.1</v>
      </c>
      <c r="P17" s="15">
        <v>1160</v>
      </c>
      <c r="Q17" s="16">
        <f>O17*P17</f>
        <v>116</v>
      </c>
      <c r="R17" s="17">
        <f t="shared" si="1"/>
        <v>0.116</v>
      </c>
      <c r="S17" s="18">
        <v>1000</v>
      </c>
    </row>
    <row r="18" s="1" customFormat="1" customHeight="1" spans="3:19">
      <c r="H18" s="3"/>
      <c r="I18" s="3"/>
      <c r="J18" s="9" t="s">
        <v>48</v>
      </c>
      <c r="K18" s="9"/>
      <c r="L18" s="52"/>
      <c r="M18" s="52"/>
      <c r="N18" s="52"/>
      <c r="O18" s="52"/>
      <c r="P18" s="52"/>
      <c r="Q18" s="53">
        <f>SUM(Q11:Q17)</f>
        <v>1993.36437081344</v>
      </c>
      <c r="R18" s="54">
        <f>SUM(R11:R17)</f>
        <v>1.99336437081344</v>
      </c>
      <c r="S18" s="18">
        <v>1000</v>
      </c>
    </row>
    <row r="19" s="1" customFormat="1" customHeight="1" spans="3:19">
      <c r="H19" s="3"/>
      <c r="I19" s="3"/>
      <c r="J19" s="57"/>
      <c r="K19" s="58"/>
      <c r="L19" s="52"/>
      <c r="M19" s="52"/>
      <c r="N19" s="52" t="s">
        <v>52</v>
      </c>
      <c r="O19" s="10" t="s">
        <v>53</v>
      </c>
      <c r="P19" s="59"/>
      <c r="Q19" s="60">
        <v>1.2</v>
      </c>
      <c r="R19" s="54">
        <f>R18*Q19</f>
        <v>2.39203724497613</v>
      </c>
      <c r="S19" s="52"/>
    </row>
    <row r="20" s="1" customFormat="1" customHeight="1" spans="3:19">
      <c r="H20" s="3"/>
      <c r="I20" s="3"/>
      <c r="J20" s="70"/>
      <c r="K20" s="70"/>
      <c r="L20" s="86"/>
      <c r="M20" s="86"/>
      <c r="N20" s="86"/>
      <c r="O20" s="86"/>
      <c r="P20" s="86"/>
      <c r="Q20" s="87"/>
      <c r="R20" s="88"/>
      <c r="S20" s="76"/>
    </row>
    <row r="21" s="1" customFormat="1" customHeight="1" spans="3:19">
      <c r="H21" s="3"/>
      <c r="I21" s="3"/>
      <c r="J21" s="89"/>
      <c r="K21" s="90"/>
      <c r="L21" s="86"/>
      <c r="M21" s="86"/>
      <c r="N21" s="86"/>
      <c r="O21" s="71"/>
      <c r="P21" s="91"/>
      <c r="Q21" s="92"/>
      <c r="R21" s="88"/>
      <c r="S21" s="86"/>
    </row>
    <row r="22" s="1" customFormat="1" customHeight="1" spans="3:19">
      <c r="H22" s="3"/>
      <c r="I22" s="3"/>
      <c r="J22" s="81"/>
      <c r="K22" s="81"/>
      <c r="L22" s="76"/>
      <c r="M22" s="76"/>
      <c r="N22" s="76"/>
      <c r="O22" s="76"/>
      <c r="P22" s="73"/>
      <c r="Q22" s="84"/>
      <c r="R22" s="80"/>
      <c r="S22" s="76"/>
    </row>
    <row r="23" s="1" customFormat="1" customHeight="1" spans="3:19">
      <c r="H23" s="3"/>
      <c r="I23" s="3"/>
      <c r="J23" s="70"/>
      <c r="K23" s="70"/>
      <c r="L23" s="71"/>
      <c r="M23" s="71"/>
      <c r="N23" s="71"/>
      <c r="O23" s="71"/>
      <c r="P23" s="72"/>
      <c r="Q23" s="71"/>
      <c r="R23" s="71"/>
      <c r="S23" s="71"/>
    </row>
    <row r="24" s="1" customFormat="1" customHeight="1" spans="3:19">
      <c r="H24" s="3"/>
      <c r="I24" s="3"/>
      <c r="J24" s="4"/>
      <c r="K24" s="4"/>
      <c r="L24" s="73"/>
      <c r="M24" s="73"/>
      <c r="N24" s="73"/>
      <c r="O24" s="73"/>
      <c r="P24" s="73"/>
      <c r="Q24" s="74"/>
      <c r="R24" s="75"/>
      <c r="S24" s="76"/>
    </row>
    <row r="25" s="1" customFormat="1" customHeight="1" spans="3:19">
      <c r="H25" s="3"/>
      <c r="I25" s="3"/>
      <c r="J25" s="94"/>
      <c r="K25" s="81"/>
      <c r="L25" s="76"/>
      <c r="M25" s="73"/>
      <c r="N25" s="73"/>
      <c r="O25" s="76"/>
      <c r="P25" s="73"/>
      <c r="Q25" s="84"/>
      <c r="R25" s="80"/>
      <c r="S25" s="76"/>
    </row>
    <row r="26" s="1" customFormat="1" customHeight="1" spans="3:19">
      <c r="H26" s="3"/>
      <c r="I26" s="3"/>
      <c r="J26" s="78"/>
      <c r="K26" s="78"/>
      <c r="L26" s="76"/>
      <c r="M26" s="73"/>
      <c r="N26" s="73"/>
      <c r="O26" s="76"/>
      <c r="P26" s="73"/>
      <c r="Q26" s="79"/>
      <c r="R26" s="80"/>
      <c r="S26" s="76"/>
    </row>
    <row r="27" s="1" customFormat="1" customHeight="1" spans="3:19">
      <c r="H27" s="3"/>
      <c r="I27" s="3"/>
      <c r="J27" s="78"/>
      <c r="K27" s="78"/>
      <c r="L27" s="76"/>
      <c r="M27" s="73"/>
      <c r="N27" s="73"/>
      <c r="O27" s="76"/>
      <c r="P27" s="73"/>
      <c r="Q27" s="79"/>
      <c r="R27" s="80"/>
      <c r="S27" s="76"/>
    </row>
    <row r="28" s="1" customFormat="1" customHeight="1" spans="3:19">
      <c r="H28" s="3"/>
      <c r="I28" s="3"/>
      <c r="J28" s="81"/>
      <c r="K28" s="81"/>
      <c r="L28" s="76"/>
      <c r="M28" s="76"/>
      <c r="N28" s="76"/>
      <c r="O28" s="76"/>
      <c r="P28" s="73"/>
      <c r="Q28" s="84"/>
      <c r="R28" s="80"/>
      <c r="S28" s="76"/>
    </row>
    <row r="29" s="1" customFormat="1" customHeight="1" spans="3:19">
      <c r="H29" s="3"/>
      <c r="I29" s="3"/>
      <c r="J29" s="82"/>
      <c r="K29" s="81"/>
      <c r="L29" s="76"/>
      <c r="M29" s="76"/>
      <c r="N29" s="76"/>
      <c r="O29" s="76"/>
      <c r="P29" s="73"/>
      <c r="Q29" s="84"/>
      <c r="R29" s="80"/>
      <c r="S29" s="76"/>
    </row>
    <row r="30" s="1" customFormat="1" customHeight="1" spans="3:19">
      <c r="H30" s="3"/>
      <c r="I30" s="3"/>
      <c r="J30" s="4"/>
      <c r="K30" s="85"/>
      <c r="L30" s="73"/>
      <c r="M30" s="73"/>
      <c r="N30" s="73"/>
      <c r="O30" s="73"/>
      <c r="P30" s="73"/>
      <c r="Q30" s="74"/>
      <c r="R30" s="75"/>
      <c r="S30" s="76"/>
    </row>
    <row r="31" s="1" customFormat="1" customHeight="1" spans="3:19">
      <c r="H31" s="3"/>
      <c r="I31" s="3"/>
      <c r="J31" s="70"/>
      <c r="K31" s="70"/>
      <c r="L31" s="86"/>
      <c r="M31" s="86"/>
      <c r="N31" s="86"/>
      <c r="O31" s="86"/>
      <c r="P31" s="86"/>
      <c r="Q31" s="87"/>
      <c r="R31" s="88"/>
      <c r="S31" s="76"/>
    </row>
    <row r="32" s="1" customFormat="1" customHeight="1" spans="3:19">
      <c r="H32" s="3"/>
      <c r="I32" s="3"/>
      <c r="J32" s="89"/>
      <c r="K32" s="90"/>
      <c r="L32" s="86"/>
      <c r="M32" s="86"/>
      <c r="N32" s="86"/>
      <c r="O32" s="71"/>
      <c r="P32" s="91"/>
      <c r="Q32" s="92"/>
      <c r="R32" s="88"/>
      <c r="S32" s="86"/>
    </row>
    <row r="33" s="1" customFormat="1" customHeight="1" spans="8:19">
      <c r="H33" s="3"/>
      <c r="I33" s="3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s="1" customFormat="1" customHeight="1" spans="8:19">
      <c r="H34" s="3"/>
      <c r="I34" s="3"/>
      <c r="J34" s="70"/>
      <c r="K34" s="70"/>
      <c r="L34" s="71"/>
      <c r="M34" s="71"/>
      <c r="N34" s="71"/>
      <c r="O34" s="71"/>
      <c r="P34" s="72"/>
      <c r="Q34" s="71"/>
      <c r="R34" s="71"/>
      <c r="S34" s="71"/>
    </row>
    <row r="35" s="1" customFormat="1" customHeight="1" spans="8:19">
      <c r="H35" s="3"/>
      <c r="I35" s="3"/>
      <c r="J35" s="4"/>
      <c r="K35" s="4"/>
      <c r="L35" s="73"/>
      <c r="M35" s="73"/>
      <c r="N35" s="73"/>
      <c r="O35" s="73"/>
      <c r="P35" s="73"/>
      <c r="Q35" s="74"/>
      <c r="R35" s="75"/>
      <c r="S35" s="76"/>
    </row>
    <row r="36" s="1" customFormat="1" customHeight="1" spans="8:19">
      <c r="H36" s="3"/>
      <c r="I36" s="3"/>
      <c r="J36" s="94"/>
      <c r="K36" s="81"/>
      <c r="L36" s="76"/>
      <c r="M36" s="73"/>
      <c r="N36" s="73"/>
      <c r="O36" s="76"/>
      <c r="P36" s="73"/>
      <c r="Q36" s="84"/>
      <c r="R36" s="80"/>
      <c r="S36" s="76"/>
    </row>
    <row r="37" s="1" customFormat="1" customHeight="1" spans="8:19">
      <c r="H37" s="3"/>
      <c r="I37" s="3"/>
      <c r="J37" s="78"/>
      <c r="K37" s="78"/>
      <c r="L37" s="76"/>
      <c r="M37" s="73"/>
      <c r="N37" s="73"/>
      <c r="O37" s="76"/>
      <c r="P37" s="73"/>
      <c r="Q37" s="79"/>
      <c r="R37" s="80"/>
      <c r="S37" s="76"/>
    </row>
    <row r="38" s="1" customFormat="1" customHeight="1" spans="8:19">
      <c r="H38" s="3"/>
      <c r="I38" s="3"/>
      <c r="J38" s="78"/>
      <c r="K38" s="78"/>
      <c r="L38" s="76"/>
      <c r="M38" s="73"/>
      <c r="N38" s="73"/>
      <c r="O38" s="76"/>
      <c r="P38" s="73"/>
      <c r="Q38" s="79"/>
      <c r="R38" s="80"/>
      <c r="S38" s="76"/>
    </row>
    <row r="39" s="1" customFormat="1" customHeight="1" spans="8:19">
      <c r="H39" s="3"/>
      <c r="I39" s="3"/>
      <c r="J39" s="81"/>
      <c r="K39" s="81"/>
      <c r="L39" s="76"/>
      <c r="M39" s="76"/>
      <c r="N39" s="76"/>
      <c r="O39" s="76"/>
      <c r="P39" s="73"/>
      <c r="Q39" s="84"/>
      <c r="R39" s="80"/>
      <c r="S39" s="76"/>
    </row>
    <row r="40" s="1" customFormat="1" customHeight="1" spans="8:19">
      <c r="H40" s="3"/>
      <c r="I40" s="3"/>
      <c r="J40" s="82"/>
      <c r="K40" s="81"/>
      <c r="L40" s="76"/>
      <c r="M40" s="76"/>
      <c r="N40" s="76"/>
      <c r="O40" s="76"/>
      <c r="P40" s="73"/>
      <c r="Q40" s="84"/>
      <c r="R40" s="80"/>
      <c r="S40" s="76"/>
    </row>
    <row r="41" s="1" customFormat="1" customHeight="1" spans="8:19">
      <c r="H41" s="3"/>
      <c r="I41" s="3"/>
      <c r="J41" s="4"/>
      <c r="K41" s="85"/>
      <c r="L41" s="73"/>
      <c r="M41" s="73"/>
      <c r="N41" s="73"/>
      <c r="O41" s="73"/>
      <c r="P41" s="73"/>
      <c r="Q41" s="74"/>
      <c r="R41" s="75"/>
      <c r="S41" s="76"/>
    </row>
    <row r="42" s="1" customFormat="1" customHeight="1" spans="8:19">
      <c r="H42" s="3"/>
      <c r="I42" s="3"/>
      <c r="J42" s="70"/>
      <c r="K42" s="70"/>
      <c r="L42" s="86"/>
      <c r="M42" s="86"/>
      <c r="N42" s="86"/>
      <c r="O42" s="86"/>
      <c r="P42" s="86"/>
      <c r="Q42" s="87"/>
      <c r="R42" s="88"/>
      <c r="S42" s="76"/>
    </row>
    <row r="43" s="1" customFormat="1" customHeight="1" spans="8:19">
      <c r="H43" s="3"/>
      <c r="I43" s="3"/>
      <c r="J43" s="89"/>
      <c r="K43" s="90"/>
      <c r="L43" s="86"/>
      <c r="M43" s="86"/>
      <c r="N43" s="86"/>
      <c r="O43" s="71"/>
      <c r="P43" s="91"/>
      <c r="Q43" s="92"/>
      <c r="R43" s="88"/>
      <c r="S43" s="86"/>
    </row>
  </sheetData>
  <mergeCells count="5">
    <mergeCell ref="A1:F1"/>
    <mergeCell ref="A2:G2"/>
    <mergeCell ref="A3:G3"/>
    <mergeCell ref="A14:G14"/>
    <mergeCell ref="A15:G15"/>
  </mergeCells>
  <pageMargins left="0.75" right="0.75" top="1" bottom="1" header="0.5" footer="0.5"/>
  <pageSetup paperSize="9" scale="95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3"/>
  <sheetViews>
    <sheetView tabSelected="1" zoomScale="85" zoomScaleNormal="85" workbookViewId="0">
      <selection activeCell="G5" sqref="G5"/>
    </sheetView>
  </sheetViews>
  <sheetFormatPr defaultColWidth="9" defaultRowHeight="41" customHeight="1"/>
  <cols>
    <col min="1" max="1" width="12.625" style="1" customWidth="1"/>
    <col min="2" max="2" width="14.35" style="1" customWidth="1"/>
    <col min="3" max="3" width="19.25" style="1" customWidth="1"/>
    <col min="4" max="4" width="8.09166666666667" style="1" customWidth="1"/>
    <col min="5" max="5" width="9.25833333333333" style="1" customWidth="1"/>
    <col min="6" max="6" width="10.4333333333333" style="1" customWidth="1"/>
    <col min="7" max="7" width="12.875" style="1" customWidth="1"/>
    <col min="8" max="8" width="6.4" style="3" customWidth="1"/>
    <col min="9" max="9" width="8.75" style="3" customWidth="1"/>
    <col min="10" max="10" width="14.375" style="4" customWidth="1"/>
    <col min="11" max="11" width="9.5" style="4" customWidth="1"/>
    <col min="12" max="12" width="9" style="5"/>
    <col min="13" max="13" width="14.125" style="5"/>
    <col min="14" max="15" width="9" style="5"/>
    <col min="16" max="16" width="10.375" style="5" customWidth="1"/>
    <col min="17" max="17" width="8.75" style="5" customWidth="1"/>
    <col min="18" max="19" width="9" style="5"/>
    <col min="20" max="16384" width="9" style="1"/>
  </cols>
  <sheetData>
    <row r="1" s="1" customFormat="1" customHeight="1" spans="1:19">
      <c r="A1" s="6" t="s">
        <v>0</v>
      </c>
      <c r="B1" s="6"/>
      <c r="C1" s="6"/>
      <c r="D1" s="6"/>
      <c r="E1" s="6"/>
      <c r="F1" s="6"/>
      <c r="G1" s="7" t="s">
        <v>1</v>
      </c>
      <c r="H1" s="3"/>
      <c r="I1" s="8" t="s">
        <v>82</v>
      </c>
      <c r="J1" s="9" t="s">
        <v>2</v>
      </c>
      <c r="K1" s="9" t="s">
        <v>3</v>
      </c>
      <c r="L1" s="10" t="s">
        <v>4</v>
      </c>
      <c r="M1" s="10" t="s">
        <v>5</v>
      </c>
      <c r="N1" s="10" t="s">
        <v>6</v>
      </c>
      <c r="O1" s="10" t="s">
        <v>7</v>
      </c>
      <c r="P1" s="11" t="s">
        <v>8</v>
      </c>
      <c r="Q1" s="10" t="s">
        <v>9</v>
      </c>
      <c r="R1" s="10" t="s">
        <v>10</v>
      </c>
      <c r="S1" s="10" t="s">
        <v>11</v>
      </c>
    </row>
    <row r="2" s="1" customFormat="1" customHeight="1" spans="1:19">
      <c r="A2" s="12" t="s">
        <v>12</v>
      </c>
      <c r="B2" s="12"/>
      <c r="C2" s="12"/>
      <c r="D2" s="12"/>
      <c r="E2" s="12"/>
      <c r="F2" s="12"/>
      <c r="G2" s="12"/>
      <c r="H2" s="3"/>
      <c r="I2" s="13" t="s">
        <v>83</v>
      </c>
      <c r="J2" s="14" t="s">
        <v>13</v>
      </c>
      <c r="K2" s="14"/>
      <c r="L2" s="15">
        <v>300</v>
      </c>
      <c r="M2" s="15">
        <f>(9.2+2.8+9.2+2.8+2+2)*2</f>
        <v>56</v>
      </c>
      <c r="N2" s="15">
        <f>(2+2.8+9.2+2+2.8+3)*3+2</f>
        <v>67.4</v>
      </c>
      <c r="O2" s="15">
        <v>4170</v>
      </c>
      <c r="P2" s="16">
        <f t="shared" ref="P2:P9" si="0">5000/6+200</f>
        <v>1033.33333333333</v>
      </c>
      <c r="Q2" s="16">
        <f>L2*M2*N2*O2*P2/10000000000</f>
        <v>487.916688</v>
      </c>
      <c r="R2" s="17">
        <f t="shared" ref="R2:R9" si="1">Q2/S2</f>
        <v>0.0975833376</v>
      </c>
      <c r="S2" s="18">
        <v>5000</v>
      </c>
    </row>
    <row r="3" s="1" customFormat="1" customHeight="1" spans="1:19">
      <c r="A3" s="19" t="s">
        <v>14</v>
      </c>
      <c r="B3" s="19"/>
      <c r="C3" s="19"/>
      <c r="D3" s="19"/>
      <c r="E3" s="19"/>
      <c r="F3" s="19"/>
      <c r="G3" s="19"/>
      <c r="H3" s="3"/>
      <c r="I3" s="3" t="s">
        <v>15</v>
      </c>
      <c r="J3" s="14" t="s">
        <v>13</v>
      </c>
      <c r="K3" s="14"/>
      <c r="L3" s="15">
        <v>300</v>
      </c>
      <c r="M3" s="15">
        <f>(9.2+2.8+9.2+2.8+2+2)*2</f>
        <v>56</v>
      </c>
      <c r="N3" s="15">
        <f>(2+2.8+9.2+2+2.8+3)*3+2</f>
        <v>67.4</v>
      </c>
      <c r="O3" s="15">
        <v>4170</v>
      </c>
      <c r="P3" s="16">
        <f t="shared" si="0"/>
        <v>1033.33333333333</v>
      </c>
      <c r="Q3" s="16">
        <f>L3*M3*N3*O3*P3/10000000000</f>
        <v>487.916688</v>
      </c>
      <c r="R3" s="17">
        <f t="shared" si="1"/>
        <v>0.0975833376</v>
      </c>
      <c r="S3" s="18">
        <v>5000</v>
      </c>
    </row>
    <row r="4" s="1" customFormat="1" customHeight="1" spans="1:19">
      <c r="A4" s="20" t="s">
        <v>19</v>
      </c>
      <c r="B4" s="21" t="s">
        <v>92</v>
      </c>
      <c r="C4" s="20"/>
      <c r="D4" s="20"/>
      <c r="E4" s="20" t="s">
        <v>21</v>
      </c>
      <c r="F4" s="22"/>
      <c r="G4" s="23">
        <v>46115</v>
      </c>
      <c r="I4" s="24"/>
      <c r="J4" s="25" t="s">
        <v>86</v>
      </c>
      <c r="K4" s="26"/>
      <c r="L4" s="18">
        <v>1</v>
      </c>
      <c r="M4" s="15">
        <f>(9.2+2.8+9.2+2.8+2+2)*2</f>
        <v>56</v>
      </c>
      <c r="N4" s="15">
        <f>(2+2.8+9.2+2+2.8+3)*3+2</f>
        <v>67.4</v>
      </c>
      <c r="O4" s="18">
        <v>0.0465</v>
      </c>
      <c r="P4" s="16">
        <f t="shared" si="0"/>
        <v>1033.33333333333</v>
      </c>
      <c r="Q4" s="27">
        <f>L4*M4*N4*O4*P4/1000</f>
        <v>181.35992</v>
      </c>
      <c r="R4" s="28">
        <f t="shared" si="1"/>
        <v>0.036271984</v>
      </c>
      <c r="S4" s="18">
        <v>5000</v>
      </c>
    </row>
    <row r="5" s="1" customFormat="1" customHeight="1" spans="1:19">
      <c r="A5" s="29" t="s">
        <v>23</v>
      </c>
      <c r="B5" s="29" t="s">
        <v>24</v>
      </c>
      <c r="C5" s="30" t="s">
        <v>25</v>
      </c>
      <c r="D5" s="30" t="s">
        <v>26</v>
      </c>
      <c r="E5" s="30" t="s">
        <v>27</v>
      </c>
      <c r="F5" s="30" t="s">
        <v>28</v>
      </c>
      <c r="G5" s="29" t="s">
        <v>29</v>
      </c>
      <c r="I5" s="31" t="s">
        <v>30</v>
      </c>
      <c r="J5" s="26" t="s">
        <v>31</v>
      </c>
      <c r="K5" s="26"/>
      <c r="L5" s="18">
        <v>1</v>
      </c>
      <c r="M5" s="15">
        <f>(9.2+2.8+9.2+2.8+2+2)*2</f>
        <v>56</v>
      </c>
      <c r="N5" s="15">
        <f>(2+2.8+9.2+2+2.8+3)*3+2</f>
        <v>67.4</v>
      </c>
      <c r="O5" s="18">
        <v>0.028</v>
      </c>
      <c r="P5" s="16">
        <f t="shared" si="0"/>
        <v>1033.33333333333</v>
      </c>
      <c r="Q5" s="27">
        <f>L5*M5*N5*O5*P5/1000</f>
        <v>109.205973333333</v>
      </c>
      <c r="R5" s="28">
        <f t="shared" si="1"/>
        <v>0.0218411946666666</v>
      </c>
      <c r="S5" s="18">
        <v>5000</v>
      </c>
    </row>
    <row r="6" s="2" customFormat="1" customHeight="1" spans="1:19">
      <c r="A6" s="32" t="s">
        <v>93</v>
      </c>
      <c r="B6" s="33" t="s">
        <v>94</v>
      </c>
      <c r="C6" s="34" t="s">
        <v>108</v>
      </c>
      <c r="D6" s="10">
        <v>5000</v>
      </c>
      <c r="E6" s="35">
        <f>0.53+0.2</f>
        <v>0.73</v>
      </c>
      <c r="F6" s="36">
        <f t="shared" ref="F6:F13" si="2">D6*E6</f>
        <v>3650</v>
      </c>
      <c r="G6" s="37" t="s">
        <v>109</v>
      </c>
      <c r="H6" s="38">
        <f t="shared" ref="H6:H13" si="3">D6*E6</f>
        <v>3650</v>
      </c>
      <c r="I6" s="39" t="s">
        <v>90</v>
      </c>
      <c r="J6" s="40" t="s">
        <v>40</v>
      </c>
      <c r="K6" s="40"/>
      <c r="L6" s="18"/>
      <c r="M6" s="18"/>
      <c r="N6" s="18"/>
      <c r="O6" s="18"/>
      <c r="P6" s="16">
        <f t="shared" si="0"/>
        <v>1033.33333333333</v>
      </c>
      <c r="Q6" s="41">
        <v>600</v>
      </c>
      <c r="R6" s="28">
        <f t="shared" si="1"/>
        <v>0.12</v>
      </c>
      <c r="S6" s="18">
        <v>5000</v>
      </c>
    </row>
    <row r="7" s="2" customFormat="1" customHeight="1" spans="1:19">
      <c r="A7" s="32"/>
      <c r="B7" s="33"/>
      <c r="C7" s="34"/>
      <c r="D7" s="10">
        <v>15000</v>
      </c>
      <c r="E7" s="35">
        <f>0.4+0.19</f>
        <v>0.59</v>
      </c>
      <c r="F7" s="36">
        <f t="shared" si="2"/>
        <v>8850</v>
      </c>
      <c r="G7" s="42"/>
      <c r="H7" s="38">
        <f t="shared" si="3"/>
        <v>8850</v>
      </c>
      <c r="I7" s="39"/>
      <c r="J7" s="43" t="s">
        <v>22</v>
      </c>
      <c r="K7" s="40"/>
      <c r="L7" s="18"/>
      <c r="M7" s="18"/>
      <c r="N7" s="18"/>
      <c r="O7" s="18"/>
      <c r="P7" s="16">
        <f t="shared" si="0"/>
        <v>1033.33333333333</v>
      </c>
      <c r="Q7" s="41">
        <v>250</v>
      </c>
      <c r="R7" s="28">
        <f t="shared" si="1"/>
        <v>0.05</v>
      </c>
      <c r="S7" s="18">
        <v>5000</v>
      </c>
    </row>
    <row r="8" s="2" customFormat="1" customHeight="1" spans="1:19">
      <c r="A8" s="44"/>
      <c r="B8" s="45"/>
      <c r="C8" s="34"/>
      <c r="D8" s="10">
        <v>35000</v>
      </c>
      <c r="E8" s="35">
        <f>0.34+0.18</f>
        <v>0.52</v>
      </c>
      <c r="F8" s="36">
        <f t="shared" si="2"/>
        <v>18200</v>
      </c>
      <c r="G8" s="37"/>
      <c r="H8" s="38">
        <f t="shared" si="3"/>
        <v>18200</v>
      </c>
      <c r="I8" s="46"/>
      <c r="J8" s="14" t="s">
        <v>32</v>
      </c>
      <c r="K8" s="47" t="s">
        <v>33</v>
      </c>
      <c r="L8" s="15" t="s">
        <v>34</v>
      </c>
      <c r="M8" s="15"/>
      <c r="N8" s="15" t="s">
        <v>35</v>
      </c>
      <c r="O8" s="15">
        <v>0.1</v>
      </c>
      <c r="P8" s="16">
        <f t="shared" si="0"/>
        <v>1033.33333333333</v>
      </c>
      <c r="Q8" s="16">
        <f>O8*P8</f>
        <v>103.333333333333</v>
      </c>
      <c r="R8" s="17">
        <f t="shared" si="1"/>
        <v>0.0206666666666667</v>
      </c>
      <c r="S8" s="18">
        <v>5000</v>
      </c>
    </row>
    <row r="9" s="2" customFormat="1" customHeight="1" spans="1:19">
      <c r="A9" s="48" t="s">
        <v>110</v>
      </c>
      <c r="B9" s="49" t="s">
        <v>111</v>
      </c>
      <c r="C9" s="34" t="s">
        <v>112</v>
      </c>
      <c r="D9" s="10">
        <v>625</v>
      </c>
      <c r="E9" s="35">
        <v>2.19</v>
      </c>
      <c r="F9" s="36">
        <f t="shared" si="2"/>
        <v>1368.75</v>
      </c>
      <c r="G9" s="50"/>
      <c r="H9" s="38">
        <f t="shared" si="3"/>
        <v>1368.75</v>
      </c>
      <c r="I9" s="46"/>
      <c r="J9" s="40" t="s">
        <v>98</v>
      </c>
      <c r="K9" s="40" t="s">
        <v>43</v>
      </c>
      <c r="L9" s="18"/>
      <c r="M9" s="18"/>
      <c r="N9" s="18"/>
      <c r="O9" s="18">
        <v>0.05</v>
      </c>
      <c r="P9" s="16">
        <f t="shared" si="0"/>
        <v>1033.33333333333</v>
      </c>
      <c r="Q9" s="41">
        <f>O9*P9</f>
        <v>51.6666666666667</v>
      </c>
      <c r="R9" s="28">
        <f t="shared" si="1"/>
        <v>0.0103333333333333</v>
      </c>
      <c r="S9" s="18">
        <v>5000</v>
      </c>
    </row>
    <row r="10" s="2" customFormat="1" customHeight="1" spans="1:19">
      <c r="A10" s="33"/>
      <c r="B10" s="33"/>
      <c r="C10" s="34"/>
      <c r="D10" s="10">
        <v>1000</v>
      </c>
      <c r="E10" s="35">
        <v>1.79</v>
      </c>
      <c r="F10" s="36">
        <f t="shared" si="2"/>
        <v>1790</v>
      </c>
      <c r="G10" s="51"/>
      <c r="H10" s="38">
        <f t="shared" si="3"/>
        <v>1790</v>
      </c>
      <c r="I10" s="46"/>
      <c r="J10" s="9" t="s">
        <v>48</v>
      </c>
      <c r="K10" s="9"/>
      <c r="L10" s="52"/>
      <c r="M10" s="52"/>
      <c r="N10" s="52"/>
      <c r="O10" s="52"/>
      <c r="P10" s="52"/>
      <c r="Q10" s="53">
        <f>SUM(Q2:Q8)</f>
        <v>2219.73260266667</v>
      </c>
      <c r="R10" s="54">
        <f>SUM(R2:R8)</f>
        <v>0.443946520533333</v>
      </c>
      <c r="S10" s="18">
        <v>5000</v>
      </c>
    </row>
    <row r="11" s="2" customFormat="1" customHeight="1" spans="1:19">
      <c r="A11" s="44"/>
      <c r="B11" s="55"/>
      <c r="C11" s="34"/>
      <c r="D11" s="10">
        <v>10000</v>
      </c>
      <c r="E11" s="35">
        <v>0.97</v>
      </c>
      <c r="F11" s="36">
        <f t="shared" si="2"/>
        <v>9700</v>
      </c>
      <c r="G11" s="56"/>
      <c r="H11" s="38">
        <f t="shared" si="3"/>
        <v>9700</v>
      </c>
      <c r="J11" s="57"/>
      <c r="K11" s="58"/>
      <c r="L11" s="52"/>
      <c r="M11" s="52"/>
      <c r="N11" s="52" t="s">
        <v>52</v>
      </c>
      <c r="O11" s="10" t="s">
        <v>53</v>
      </c>
      <c r="P11" s="59"/>
      <c r="Q11" s="60">
        <v>1.2</v>
      </c>
      <c r="R11" s="54">
        <f>R10*Q11</f>
        <v>0.53273582464</v>
      </c>
      <c r="S11" s="52"/>
    </row>
    <row r="12" s="2" customFormat="1" customHeight="1" spans="1:19">
      <c r="A12" s="48" t="s">
        <v>113</v>
      </c>
      <c r="B12" s="55" t="s">
        <v>114</v>
      </c>
      <c r="C12" s="34" t="s">
        <v>115</v>
      </c>
      <c r="D12" s="10">
        <v>160</v>
      </c>
      <c r="E12" s="35">
        <v>3.12</v>
      </c>
      <c r="F12" s="36">
        <f t="shared" si="2"/>
        <v>499.2</v>
      </c>
      <c r="G12" s="56"/>
      <c r="H12" s="38">
        <f t="shared" si="3"/>
        <v>499.2</v>
      </c>
    </row>
    <row r="13" s="2" customFormat="1" customHeight="1" spans="1:19">
      <c r="A13" s="44"/>
      <c r="B13" s="49"/>
      <c r="C13" s="34"/>
      <c r="D13" s="10">
        <v>500</v>
      </c>
      <c r="E13" s="35">
        <v>3.12</v>
      </c>
      <c r="F13" s="36">
        <f t="shared" si="2"/>
        <v>1560</v>
      </c>
      <c r="G13" s="37"/>
      <c r="H13" s="38">
        <f t="shared" si="3"/>
        <v>1560</v>
      </c>
      <c r="J13" s="9" t="s">
        <v>2</v>
      </c>
      <c r="K13" s="9" t="s">
        <v>3</v>
      </c>
      <c r="L13" s="10" t="s">
        <v>4</v>
      </c>
      <c r="M13" s="10" t="s">
        <v>5</v>
      </c>
      <c r="N13" s="10" t="s">
        <v>6</v>
      </c>
      <c r="O13" s="10" t="s">
        <v>7</v>
      </c>
      <c r="P13" s="11" t="s">
        <v>8</v>
      </c>
      <c r="Q13" s="10" t="s">
        <v>9</v>
      </c>
      <c r="R13" s="10" t="s">
        <v>10</v>
      </c>
      <c r="S13" s="10" t="s">
        <v>11</v>
      </c>
    </row>
    <row r="14" s="1" customFormat="1" customHeight="1" spans="1:19">
      <c r="A14" s="61" t="s">
        <v>65</v>
      </c>
      <c r="B14" s="62"/>
      <c r="C14" s="62"/>
      <c r="D14" s="62"/>
      <c r="E14" s="62"/>
      <c r="F14" s="62"/>
      <c r="G14" s="62"/>
      <c r="H14" s="63"/>
      <c r="I14" s="64"/>
      <c r="J14" s="14" t="s">
        <v>13</v>
      </c>
      <c r="K14" s="14"/>
      <c r="L14" s="15">
        <v>300</v>
      </c>
      <c r="M14" s="15">
        <f>10*4+2+2</f>
        <v>44</v>
      </c>
      <c r="N14" s="15">
        <f>10*0.75+23+10+2+2</f>
        <v>44.5</v>
      </c>
      <c r="O14" s="15">
        <v>3380</v>
      </c>
      <c r="P14" s="16">
        <f>625+180</f>
        <v>805</v>
      </c>
      <c r="Q14" s="16">
        <f>L14*M14*N14*O14*P14/10000000000</f>
        <v>159.825666</v>
      </c>
      <c r="R14" s="17">
        <f t="shared" ref="R14:R17" si="4">Q14/S14</f>
        <v>0.2557210656</v>
      </c>
      <c r="S14" s="18">
        <v>625</v>
      </c>
    </row>
    <row r="15" s="1" customFormat="1" ht="68" customHeight="1" spans="1:19">
      <c r="A15" s="65" t="s">
        <v>66</v>
      </c>
      <c r="B15" s="65"/>
      <c r="C15" s="65"/>
      <c r="D15" s="65"/>
      <c r="E15" s="65"/>
      <c r="F15" s="65"/>
      <c r="G15" s="65"/>
      <c r="H15" s="63"/>
      <c r="I15" s="63"/>
      <c r="J15" s="66" t="s">
        <v>107</v>
      </c>
      <c r="K15" s="66"/>
      <c r="L15" s="67">
        <v>1</v>
      </c>
      <c r="M15" s="15">
        <f>10*4+2+2</f>
        <v>44</v>
      </c>
      <c r="N15" s="15">
        <f>10*0.75+23+10+2+2</f>
        <v>44.5</v>
      </c>
      <c r="O15" s="67">
        <v>0.58</v>
      </c>
      <c r="P15" s="16">
        <f t="shared" ref="P15:P21" si="5">625+180</f>
        <v>805</v>
      </c>
      <c r="Q15" s="68">
        <f>L15*M15/2.54*N15/2.54*O15*P15/1000</f>
        <v>141.699764399529</v>
      </c>
      <c r="R15" s="69">
        <f t="shared" si="4"/>
        <v>0.226719623039246</v>
      </c>
      <c r="S15" s="18">
        <v>625</v>
      </c>
    </row>
    <row r="16" s="1" customFormat="1" customHeight="1" spans="1:19">
      <c r="H16" s="3"/>
      <c r="I16" s="3"/>
      <c r="J16" s="25" t="s">
        <v>86</v>
      </c>
      <c r="K16" s="26"/>
      <c r="L16" s="18">
        <v>1</v>
      </c>
      <c r="M16" s="15">
        <f>10*4+2+2</f>
        <v>44</v>
      </c>
      <c r="N16" s="15">
        <f>10*0.75+23+10+2+2</f>
        <v>44.5</v>
      </c>
      <c r="O16" s="18">
        <v>0.0465</v>
      </c>
      <c r="P16" s="16">
        <f t="shared" si="5"/>
        <v>805</v>
      </c>
      <c r="Q16" s="27">
        <f>L16*M16*N16*O16*P16/1000</f>
        <v>73.292835</v>
      </c>
      <c r="R16" s="28">
        <f t="shared" si="4"/>
        <v>0.117268536</v>
      </c>
      <c r="S16" s="18">
        <v>625</v>
      </c>
    </row>
    <row r="17" s="1" customFormat="1" customHeight="1" spans="8:19">
      <c r="H17" s="3"/>
      <c r="I17" s="3"/>
      <c r="J17" s="26" t="s">
        <v>31</v>
      </c>
      <c r="K17" s="26"/>
      <c r="L17" s="18">
        <v>1</v>
      </c>
      <c r="M17" s="15">
        <f>10*4+2+2</f>
        <v>44</v>
      </c>
      <c r="N17" s="15">
        <f>10*0.75+23+10+2+2</f>
        <v>44.5</v>
      </c>
      <c r="O17" s="18">
        <v>0.028</v>
      </c>
      <c r="P17" s="16">
        <f t="shared" si="5"/>
        <v>805</v>
      </c>
      <c r="Q17" s="27">
        <f>L17*M17*N17*O17*P17/1000</f>
        <v>44.13332</v>
      </c>
      <c r="R17" s="28">
        <f t="shared" si="4"/>
        <v>0.070613312</v>
      </c>
      <c r="S17" s="18">
        <v>625</v>
      </c>
    </row>
    <row r="18" s="1" customFormat="1" customHeight="1" spans="8:19">
      <c r="H18" s="3"/>
      <c r="I18" s="3"/>
      <c r="J18" s="40" t="s">
        <v>40</v>
      </c>
      <c r="K18" s="40"/>
      <c r="L18" s="18"/>
      <c r="M18" s="18"/>
      <c r="N18" s="18"/>
      <c r="O18" s="18"/>
      <c r="P18" s="16">
        <f t="shared" si="5"/>
        <v>805</v>
      </c>
      <c r="Q18" s="41">
        <v>400</v>
      </c>
      <c r="R18" s="28">
        <f t="shared" ref="R18:R21" si="6">Q18/S18</f>
        <v>0.64</v>
      </c>
      <c r="S18" s="18">
        <v>625</v>
      </c>
    </row>
    <row r="19" s="1" customFormat="1" customHeight="1" spans="8:19">
      <c r="H19" s="3"/>
      <c r="I19" s="3"/>
      <c r="J19" s="43" t="s">
        <v>22</v>
      </c>
      <c r="K19" s="40"/>
      <c r="L19" s="18"/>
      <c r="M19" s="18"/>
      <c r="N19" s="18"/>
      <c r="O19" s="18"/>
      <c r="P19" s="16">
        <f t="shared" si="5"/>
        <v>805</v>
      </c>
      <c r="Q19" s="41">
        <v>200</v>
      </c>
      <c r="R19" s="28">
        <f t="shared" si="6"/>
        <v>0.32</v>
      </c>
      <c r="S19" s="18">
        <v>625</v>
      </c>
    </row>
    <row r="20" s="1" customFormat="1" customHeight="1" spans="8:19">
      <c r="H20" s="3"/>
      <c r="I20" s="3"/>
      <c r="J20" s="14" t="s">
        <v>32</v>
      </c>
      <c r="K20" s="47" t="s">
        <v>33</v>
      </c>
      <c r="L20" s="15" t="s">
        <v>34</v>
      </c>
      <c r="M20" s="15"/>
      <c r="N20" s="15" t="s">
        <v>35</v>
      </c>
      <c r="O20" s="15">
        <v>0.1</v>
      </c>
      <c r="P20" s="16">
        <f t="shared" si="5"/>
        <v>805</v>
      </c>
      <c r="Q20" s="16">
        <f>O20*P20</f>
        <v>80.5</v>
      </c>
      <c r="R20" s="17">
        <f t="shared" si="6"/>
        <v>0.1288</v>
      </c>
      <c r="S20" s="18">
        <v>625</v>
      </c>
    </row>
    <row r="21" s="1" customFormat="1" customHeight="1" spans="8:19">
      <c r="H21" s="3"/>
      <c r="I21" s="3"/>
      <c r="J21" s="40" t="s">
        <v>98</v>
      </c>
      <c r="K21" s="40" t="s">
        <v>43</v>
      </c>
      <c r="L21" s="18"/>
      <c r="M21" s="18"/>
      <c r="N21" s="18"/>
      <c r="O21" s="18">
        <v>0.05</v>
      </c>
      <c r="P21" s="16">
        <f t="shared" si="5"/>
        <v>805</v>
      </c>
      <c r="Q21" s="41">
        <f>O21*P21</f>
        <v>40.25</v>
      </c>
      <c r="R21" s="28">
        <f t="shared" si="6"/>
        <v>0.0644</v>
      </c>
      <c r="S21" s="18">
        <v>625</v>
      </c>
    </row>
    <row r="22" s="1" customFormat="1" customHeight="1" spans="8:19">
      <c r="H22" s="3"/>
      <c r="I22" s="3"/>
      <c r="J22" s="9" t="s">
        <v>48</v>
      </c>
      <c r="K22" s="9"/>
      <c r="L22" s="52"/>
      <c r="M22" s="52"/>
      <c r="N22" s="52"/>
      <c r="O22" s="52"/>
      <c r="P22" s="52"/>
      <c r="Q22" s="53">
        <f>SUM(Q14:Q21)</f>
        <v>1139.70158539953</v>
      </c>
      <c r="R22" s="54">
        <f>SUM(R14:R21)</f>
        <v>1.82352253663925</v>
      </c>
      <c r="S22" s="18">
        <v>625</v>
      </c>
    </row>
    <row r="23" s="1" customFormat="1" customHeight="1" spans="8:19">
      <c r="H23" s="3"/>
      <c r="I23" s="3"/>
      <c r="J23" s="57"/>
      <c r="K23" s="58"/>
      <c r="L23" s="52"/>
      <c r="M23" s="52"/>
      <c r="N23" s="52" t="s">
        <v>52</v>
      </c>
      <c r="O23" s="10" t="s">
        <v>53</v>
      </c>
      <c r="P23" s="59"/>
      <c r="Q23" s="60">
        <v>1.2</v>
      </c>
      <c r="R23" s="54">
        <f>R22*Q23</f>
        <v>2.1882270439671</v>
      </c>
      <c r="S23" s="52"/>
    </row>
    <row r="24" s="1" customFormat="1" customHeight="1" spans="8:19">
      <c r="H24" s="3"/>
      <c r="I24" s="3"/>
    </row>
    <row r="25" s="1" customFormat="1" customHeight="1" spans="8:19">
      <c r="H25" s="3"/>
      <c r="I25" s="3"/>
      <c r="J25" s="70"/>
      <c r="K25" s="70"/>
      <c r="L25" s="71"/>
      <c r="M25" s="71"/>
      <c r="N25" s="71"/>
      <c r="O25" s="71"/>
      <c r="P25" s="72"/>
      <c r="Q25" s="71"/>
      <c r="R25" s="71"/>
      <c r="S25" s="71"/>
    </row>
    <row r="26" s="1" customFormat="1" customHeight="1" spans="8:19">
      <c r="H26" s="3"/>
      <c r="I26" s="3"/>
      <c r="J26" s="4"/>
      <c r="K26" s="4"/>
      <c r="L26" s="73"/>
      <c r="M26" s="73"/>
      <c r="N26" s="73"/>
      <c r="O26" s="73"/>
      <c r="P26" s="74"/>
      <c r="Q26" s="74"/>
      <c r="R26" s="75"/>
      <c r="S26" s="76"/>
    </row>
    <row r="27" s="1" customFormat="1" customHeight="1" spans="8:19">
      <c r="H27" s="3"/>
      <c r="I27" s="3"/>
      <c r="J27" s="4"/>
      <c r="K27" s="4"/>
      <c r="L27" s="73"/>
      <c r="M27" s="73"/>
      <c r="N27" s="73"/>
      <c r="O27" s="73"/>
      <c r="P27" s="74"/>
      <c r="Q27" s="74"/>
      <c r="R27" s="75"/>
      <c r="S27" s="76"/>
    </row>
    <row r="28" s="1" customFormat="1" customHeight="1" spans="8:19">
      <c r="H28" s="3"/>
      <c r="I28" s="3"/>
      <c r="J28" s="77"/>
      <c r="K28" s="78"/>
      <c r="L28" s="76"/>
      <c r="M28" s="73"/>
      <c r="N28" s="73"/>
      <c r="O28" s="76"/>
      <c r="P28" s="74"/>
      <c r="Q28" s="79"/>
      <c r="R28" s="80"/>
      <c r="S28" s="76"/>
    </row>
    <row r="29" s="1" customFormat="1" customHeight="1" spans="8:19">
      <c r="H29" s="3"/>
      <c r="I29" s="3"/>
      <c r="J29" s="78"/>
      <c r="K29" s="78"/>
      <c r="L29" s="76"/>
      <c r="M29" s="73"/>
      <c r="N29" s="73"/>
      <c r="O29" s="76"/>
      <c r="P29" s="74"/>
      <c r="Q29" s="79"/>
      <c r="R29" s="80"/>
      <c r="S29" s="76"/>
    </row>
    <row r="30" s="1" customFormat="1" customHeight="1" spans="8:19">
      <c r="H30" s="3"/>
      <c r="I30" s="3"/>
      <c r="J30" s="81"/>
      <c r="K30" s="82"/>
      <c r="L30" s="82"/>
      <c r="M30" s="83"/>
      <c r="N30" s="83"/>
      <c r="O30" s="83"/>
      <c r="P30" s="74"/>
      <c r="Q30" s="83"/>
      <c r="R30" s="80"/>
      <c r="S30" s="76"/>
    </row>
    <row r="31" s="1" customFormat="1" customHeight="1" spans="8:19">
      <c r="H31" s="3"/>
      <c r="I31" s="3"/>
      <c r="J31" s="81"/>
      <c r="K31" s="81"/>
      <c r="L31" s="76"/>
      <c r="M31" s="76"/>
      <c r="N31" s="76"/>
      <c r="O31" s="76"/>
      <c r="P31" s="74"/>
      <c r="Q31" s="84"/>
      <c r="R31" s="80"/>
      <c r="S31" s="76"/>
    </row>
    <row r="32" s="1" customFormat="1" customHeight="1" spans="8:19">
      <c r="H32" s="3"/>
      <c r="I32" s="3"/>
      <c r="J32" s="82"/>
      <c r="K32" s="81"/>
      <c r="L32" s="76"/>
      <c r="M32" s="76"/>
      <c r="N32" s="76"/>
      <c r="O32" s="76"/>
      <c r="P32" s="74"/>
      <c r="Q32" s="84"/>
      <c r="R32" s="80"/>
      <c r="S32" s="76"/>
    </row>
    <row r="33" s="1" customFormat="1" customHeight="1" spans="8:19">
      <c r="H33" s="3"/>
      <c r="I33" s="3"/>
      <c r="J33" s="4"/>
      <c r="K33" s="85"/>
      <c r="L33" s="73"/>
      <c r="M33" s="73"/>
      <c r="N33" s="73"/>
      <c r="O33" s="73"/>
      <c r="P33" s="74"/>
      <c r="Q33" s="74"/>
      <c r="R33" s="75"/>
      <c r="S33" s="76"/>
    </row>
    <row r="34" s="1" customFormat="1" customHeight="1" spans="8:19">
      <c r="H34" s="3"/>
      <c r="I34" s="3"/>
      <c r="J34" s="81"/>
      <c r="K34" s="81"/>
      <c r="L34" s="76"/>
      <c r="M34" s="76"/>
      <c r="N34" s="76"/>
      <c r="O34" s="76"/>
      <c r="P34" s="74"/>
      <c r="Q34" s="84"/>
      <c r="R34" s="80"/>
      <c r="S34" s="76"/>
    </row>
    <row r="35" s="1" customFormat="1" customHeight="1" spans="8:19">
      <c r="H35" s="3"/>
      <c r="I35" s="3"/>
      <c r="J35" s="70"/>
      <c r="K35" s="70"/>
      <c r="L35" s="86"/>
      <c r="M35" s="86"/>
      <c r="N35" s="86"/>
      <c r="O35" s="86"/>
      <c r="P35" s="86"/>
      <c r="Q35" s="87"/>
      <c r="R35" s="88"/>
      <c r="S35" s="76"/>
    </row>
    <row r="36" s="1" customFormat="1" customHeight="1" spans="8:19">
      <c r="H36" s="3"/>
      <c r="I36" s="3"/>
      <c r="J36" s="89"/>
      <c r="K36" s="90"/>
      <c r="L36" s="86"/>
      <c r="M36" s="86"/>
      <c r="N36" s="86"/>
      <c r="O36" s="71"/>
      <c r="P36" s="91"/>
      <c r="Q36" s="92"/>
      <c r="R36" s="88"/>
      <c r="S36" s="86"/>
    </row>
    <row r="37" s="1" customFormat="1" customHeight="1" spans="8:19">
      <c r="H37" s="3"/>
      <c r="I37" s="3"/>
      <c r="J37" s="78"/>
      <c r="K37" s="78"/>
      <c r="L37" s="76"/>
      <c r="M37" s="73"/>
      <c r="N37" s="73"/>
      <c r="O37" s="76"/>
      <c r="P37" s="73"/>
      <c r="Q37" s="79"/>
      <c r="R37" s="80"/>
      <c r="S37" s="76"/>
    </row>
    <row r="38" s="1" customFormat="1" customHeight="1" spans="8:19">
      <c r="H38" s="3"/>
      <c r="I38" s="3"/>
      <c r="J38" s="78"/>
      <c r="K38" s="78"/>
      <c r="L38" s="76"/>
      <c r="M38" s="73"/>
      <c r="N38" s="73"/>
      <c r="O38" s="76"/>
      <c r="P38" s="73"/>
      <c r="Q38" s="79"/>
      <c r="R38" s="80"/>
      <c r="S38" s="76"/>
    </row>
    <row r="39" s="1" customFormat="1" customHeight="1" spans="8:19">
      <c r="H39" s="3"/>
      <c r="I39" s="3"/>
      <c r="J39" s="81"/>
      <c r="K39" s="81"/>
      <c r="L39" s="76"/>
      <c r="M39" s="76"/>
      <c r="N39" s="76"/>
      <c r="O39" s="76"/>
      <c r="P39" s="73"/>
      <c r="Q39" s="84"/>
      <c r="R39" s="80"/>
      <c r="S39" s="76"/>
    </row>
    <row r="40" s="1" customFormat="1" customHeight="1" spans="8:19">
      <c r="H40" s="3"/>
      <c r="I40" s="3"/>
      <c r="J40" s="82"/>
      <c r="K40" s="81"/>
      <c r="L40" s="76"/>
      <c r="M40" s="76"/>
      <c r="N40" s="76"/>
      <c r="O40" s="76"/>
      <c r="P40" s="73"/>
      <c r="Q40" s="84"/>
      <c r="R40" s="80"/>
      <c r="S40" s="76"/>
    </row>
    <row r="41" s="1" customFormat="1" customHeight="1" spans="8:19">
      <c r="H41" s="3"/>
      <c r="I41" s="3"/>
      <c r="J41" s="4"/>
      <c r="K41" s="85"/>
      <c r="L41" s="73"/>
      <c r="M41" s="73"/>
      <c r="N41" s="73"/>
      <c r="O41" s="73"/>
      <c r="P41" s="73"/>
      <c r="Q41" s="74"/>
      <c r="R41" s="75"/>
      <c r="S41" s="76"/>
    </row>
    <row r="42" s="1" customFormat="1" customHeight="1" spans="8:19">
      <c r="H42" s="3"/>
      <c r="I42" s="3"/>
      <c r="J42" s="70"/>
      <c r="K42" s="70"/>
      <c r="L42" s="86"/>
      <c r="M42" s="86"/>
      <c r="N42" s="86"/>
      <c r="O42" s="86"/>
      <c r="P42" s="86"/>
      <c r="Q42" s="87"/>
      <c r="R42" s="88"/>
      <c r="S42" s="76"/>
    </row>
    <row r="43" s="1" customFormat="1" customHeight="1" spans="8:19">
      <c r="H43" s="3"/>
      <c r="I43" s="3"/>
      <c r="J43" s="89"/>
      <c r="K43" s="90"/>
      <c r="L43" s="86"/>
      <c r="M43" s="86"/>
      <c r="N43" s="86"/>
      <c r="O43" s="71"/>
      <c r="P43" s="91"/>
      <c r="Q43" s="92"/>
      <c r="R43" s="88"/>
      <c r="S43" s="86"/>
    </row>
  </sheetData>
  <mergeCells count="5">
    <mergeCell ref="A1:F1"/>
    <mergeCell ref="A2:G2"/>
    <mergeCell ref="A3:G3"/>
    <mergeCell ref="A14:G14"/>
    <mergeCell ref="A15:G15"/>
  </mergeCells>
  <pageMargins left="0.75" right="0.75" top="1" bottom="1" header="0.5" footer="0.5"/>
  <pageSetup paperSize="9" scale="9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0401广州麦柯黎雅化妆品工厂</vt:lpstr>
      <vt:lpstr>0401江苏维凯</vt:lpstr>
      <vt:lpstr>0402欣梦创想</vt:lpstr>
      <vt:lpstr>0402鸽士锋</vt:lpstr>
      <vt:lpstr>0402 3987p</vt:lpstr>
      <vt:lpstr>0403鸽士锋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黄娟</cp:lastModifiedBy>
  <dcterms:created xsi:type="dcterms:W3CDTF">2026-04-01T02:58:00Z</dcterms:created>
  <dcterms:modified xsi:type="dcterms:W3CDTF">2026-04-03T07:04:03Z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1DA9874F92F84E78BB0B8B0763DC8D15_11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