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3月已交货" sheetId="2" r:id="rId1"/>
    <sheet name="3月 月结客人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43C374A20B24A218513BAFFBB45DD6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05140" y="2619375"/>
          <a:ext cx="4667250" cy="3629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F17BBEACCD64AA5A155A2AF67FD6DFE"/>
        <xdr:cNvPicPr>
          <a:picLocks noChangeAspect="1"/>
        </xdr:cNvPicPr>
      </xdr:nvPicPr>
      <xdr:blipFill>
        <a:blip r:embed="rId2"/>
        <a:srcRect l="3818" t="2712" r="3295" b="68948"/>
        <a:stretch>
          <a:fillRect/>
        </a:stretch>
      </xdr:blipFill>
      <xdr:spPr>
        <a:xfrm>
          <a:off x="9076055" y="2914650"/>
          <a:ext cx="10667365" cy="72771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<sst xmlns="http://schemas.openxmlformats.org/spreadsheetml/2006/main" count="153" uniqueCount="124">
  <si>
    <r>
      <rPr>
        <sz val="18"/>
        <color theme="1"/>
        <rFont val="Arial"/>
        <charset val="134"/>
      </rPr>
      <t xml:space="preserve"> </t>
    </r>
    <r>
      <rPr>
        <b/>
        <sz val="18"/>
        <color theme="1"/>
        <rFont val="宋体"/>
        <charset val="134"/>
      </rPr>
      <t>东莞市彩嘉印刷有限公司</t>
    </r>
    <r>
      <rPr>
        <sz val="18"/>
        <color theme="1"/>
        <rFont val="Arial"/>
        <charset val="134"/>
      </rPr>
      <t xml:space="preserve"> </t>
    </r>
    <r>
      <rPr>
        <b/>
        <sz val="18"/>
        <color rgb="FFFF0000"/>
        <rFont val="宋体"/>
        <charset val="134"/>
      </rPr>
      <t>业务员对账单（</t>
    </r>
    <r>
      <rPr>
        <b/>
        <sz val="18"/>
        <color rgb="FFFF0000"/>
        <rFont val="Arial"/>
        <charset val="134"/>
      </rPr>
      <t>2026</t>
    </r>
    <r>
      <rPr>
        <b/>
        <sz val="18"/>
        <color rgb="FFFF0000"/>
        <rFont val="宋体"/>
        <charset val="134"/>
      </rPr>
      <t>年</t>
    </r>
    <r>
      <rPr>
        <b/>
        <sz val="18"/>
        <color rgb="FFFF0000"/>
        <rFont val="Arial"/>
        <charset val="134"/>
      </rPr>
      <t>3</t>
    </r>
    <r>
      <rPr>
        <b/>
        <sz val="18"/>
        <color rgb="FFFF0000"/>
        <rFont val="宋体"/>
        <charset val="134"/>
      </rPr>
      <t>月</t>
    </r>
    <r>
      <rPr>
        <sz val="18"/>
        <color rgb="FFFF0000"/>
        <rFont val="宋体"/>
        <charset val="134"/>
      </rPr>
      <t>）</t>
    </r>
    <r>
      <rPr>
        <sz val="18"/>
        <color theme="1"/>
        <rFont val="Arial"/>
        <charset val="134"/>
      </rPr>
      <t xml:space="preserve"> </t>
    </r>
    <r>
      <rPr>
        <b/>
        <sz val="18"/>
        <color rgb="FFFF0000"/>
        <rFont val="宋体"/>
        <charset val="134"/>
      </rPr>
      <t>业务员：</t>
    </r>
    <r>
      <rPr>
        <b/>
        <sz val="18"/>
        <color rgb="FF0070C0"/>
        <rFont val="宋体"/>
        <charset val="134"/>
      </rPr>
      <t>黄娟</t>
    </r>
  </si>
  <si>
    <r>
      <rPr>
        <b/>
        <sz val="12"/>
        <color theme="1"/>
        <rFont val="宋体"/>
        <charset val="134"/>
      </rPr>
      <t>下单日期</t>
    </r>
  </si>
  <si>
    <r>
      <rPr>
        <b/>
        <sz val="12"/>
        <color theme="1"/>
        <rFont val="宋体"/>
        <charset val="134"/>
      </rPr>
      <t>客户名称</t>
    </r>
  </si>
  <si>
    <r>
      <rPr>
        <b/>
        <sz val="12"/>
        <color theme="1"/>
        <rFont val="宋体"/>
        <charset val="134"/>
      </rPr>
      <t>系统客户订单</t>
    </r>
  </si>
  <si>
    <r>
      <rPr>
        <b/>
        <sz val="12"/>
        <color theme="1"/>
        <rFont val="宋体"/>
        <charset val="134"/>
      </rPr>
      <t>品名</t>
    </r>
  </si>
  <si>
    <r>
      <rPr>
        <b/>
        <sz val="12"/>
        <color theme="1"/>
        <rFont val="宋体"/>
        <charset val="134"/>
      </rPr>
      <t>规格</t>
    </r>
  </si>
  <si>
    <r>
      <rPr>
        <b/>
        <sz val="12"/>
        <color theme="1"/>
        <rFont val="宋体"/>
        <charset val="134"/>
      </rPr>
      <t>材质</t>
    </r>
    <r>
      <rPr>
        <b/>
        <sz val="12"/>
        <color theme="1"/>
        <rFont val="Arial"/>
        <charset val="134"/>
      </rPr>
      <t>+</t>
    </r>
    <r>
      <rPr>
        <b/>
        <sz val="12"/>
        <color theme="1"/>
        <rFont val="宋体"/>
        <charset val="134"/>
      </rPr>
      <t>颜色</t>
    </r>
    <r>
      <rPr>
        <b/>
        <sz val="12"/>
        <color theme="1"/>
        <rFont val="Arial"/>
        <charset val="134"/>
      </rPr>
      <t>+</t>
    </r>
    <r>
      <rPr>
        <b/>
        <sz val="12"/>
        <color theme="1"/>
        <rFont val="宋体"/>
        <charset val="134"/>
      </rPr>
      <t>工艺</t>
    </r>
  </si>
  <si>
    <r>
      <rPr>
        <b/>
        <sz val="12"/>
        <color theme="1"/>
        <rFont val="宋体"/>
        <charset val="134"/>
      </rPr>
      <t>数量</t>
    </r>
  </si>
  <si>
    <r>
      <rPr>
        <b/>
        <sz val="12"/>
        <color theme="1"/>
        <rFont val="宋体"/>
        <charset val="134"/>
      </rPr>
      <t>单价</t>
    </r>
  </si>
  <si>
    <r>
      <rPr>
        <b/>
        <sz val="12"/>
        <color theme="1"/>
        <rFont val="宋体"/>
        <charset val="134"/>
      </rPr>
      <t>金额</t>
    </r>
  </si>
  <si>
    <r>
      <rPr>
        <b/>
        <sz val="12"/>
        <color theme="1"/>
        <rFont val="宋体"/>
        <charset val="134"/>
      </rPr>
      <t>收款说明</t>
    </r>
  </si>
  <si>
    <r>
      <rPr>
        <b/>
        <sz val="12"/>
        <color theme="1"/>
        <rFont val="Arial"/>
        <charset val="134"/>
      </rPr>
      <t>1688</t>
    </r>
    <r>
      <rPr>
        <b/>
        <sz val="12"/>
        <color theme="1"/>
        <rFont val="宋体"/>
        <charset val="134"/>
      </rPr>
      <t>订单号</t>
    </r>
  </si>
  <si>
    <r>
      <rPr>
        <b/>
        <sz val="12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</si>
  <si>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深圳市锦鸿佳贸易有限公司</t>
    </r>
  </si>
  <si>
    <t>DD260114006</t>
  </si>
  <si>
    <r>
      <rPr>
        <b/>
        <sz val="11"/>
        <color theme="1"/>
        <rFont val="宋体"/>
        <charset val="134"/>
      </rPr>
      <t>麻将包装飞机盒</t>
    </r>
  </si>
  <si>
    <t>280x200x90mm</t>
  </si>
  <si>
    <r>
      <rPr>
        <b/>
        <sz val="9"/>
        <rFont val="Arial"/>
        <charset val="134"/>
      </rPr>
      <t>300g</t>
    </r>
    <r>
      <rPr>
        <b/>
        <sz val="9"/>
        <rFont val="宋体"/>
        <charset val="134"/>
      </rPr>
      <t>裱</t>
    </r>
    <r>
      <rPr>
        <b/>
        <sz val="9"/>
        <color rgb="FFFF0000"/>
        <rFont val="宋体"/>
        <charset val="134"/>
      </rPr>
      <t>白</t>
    </r>
    <r>
      <rPr>
        <b/>
        <sz val="9"/>
        <color rgb="FFFF0000"/>
        <rFont val="Arial"/>
        <charset val="134"/>
      </rPr>
      <t>E</t>
    </r>
    <r>
      <rPr>
        <b/>
        <sz val="9"/>
        <color rgb="FFFF0000"/>
        <rFont val="宋体"/>
        <charset val="134"/>
      </rPr>
      <t>高强芯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四色印刷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</si>
  <si>
    <r>
      <rPr>
        <sz val="11"/>
        <color theme="1"/>
        <rFont val="宋体"/>
        <charset val="134"/>
      </rPr>
      <t>微信下单，现金结算，含增值税</t>
    </r>
  </si>
  <si>
    <r>
      <rPr>
        <sz val="10"/>
        <color theme="1"/>
        <rFont val="Arial"/>
        <charset val="134"/>
      </rPr>
      <t>26.1.13</t>
    </r>
    <r>
      <rPr>
        <sz val="10"/>
        <color theme="1"/>
        <rFont val="宋体"/>
        <charset val="134"/>
      </rPr>
      <t>日彩嘉账户收</t>
    </r>
  </si>
  <si>
    <r>
      <rPr>
        <b/>
        <sz val="11"/>
        <color theme="1"/>
        <rFont val="宋体"/>
        <charset val="134"/>
      </rPr>
      <t>麻将垫盒内盒</t>
    </r>
  </si>
  <si>
    <t>453x196x53mm</t>
  </si>
  <si>
    <r>
      <rPr>
        <b/>
        <sz val="11"/>
        <color theme="1"/>
        <rFont val="宋体"/>
        <charset val="134"/>
      </rPr>
      <t>麻将套件包盒</t>
    </r>
  </si>
  <si>
    <t>173x196x88mm</t>
  </si>
  <si>
    <r>
      <rPr>
        <b/>
        <sz val="11"/>
        <color theme="1"/>
        <rFont val="宋体"/>
        <charset val="134"/>
      </rPr>
      <t>套装盒子</t>
    </r>
    <r>
      <rPr>
        <b/>
        <sz val="11"/>
        <color theme="1"/>
        <rFont val="Arial"/>
        <charset val="134"/>
      </rPr>
      <t>-</t>
    </r>
    <r>
      <rPr>
        <b/>
        <sz val="11"/>
        <color theme="1"/>
        <rFont val="宋体"/>
        <charset val="134"/>
      </rPr>
      <t>大盒</t>
    </r>
  </si>
  <si>
    <t>478x277x157mm</t>
  </si>
  <si>
    <r>
      <rPr>
        <sz val="10.5"/>
        <color rgb="FF111111"/>
        <rFont val="宋体"/>
        <charset val="134"/>
      </rPr>
      <t>日本</t>
    </r>
    <r>
      <rPr>
        <sz val="10.5"/>
        <color rgb="FF111111"/>
        <rFont val="Arial"/>
        <charset val="134"/>
      </rPr>
      <t xml:space="preserve"> </t>
    </r>
    <r>
      <rPr>
        <sz val="10.5"/>
        <color rgb="FF111111"/>
        <rFont val="宋体"/>
        <charset val="134"/>
      </rPr>
      <t>株式会社</t>
    </r>
    <r>
      <rPr>
        <sz val="10.5"/>
        <color rgb="FF111111"/>
        <rFont val="Arial"/>
        <charset val="134"/>
      </rPr>
      <t xml:space="preserve">Vostok </t>
    </r>
  </si>
  <si>
    <t>DD251205011</t>
  </si>
  <si>
    <r>
      <rPr>
        <b/>
        <sz val="10.5"/>
        <color rgb="FF111111"/>
        <rFont val="宋体"/>
        <charset val="134"/>
      </rPr>
      <t>飞机盒</t>
    </r>
  </si>
  <si>
    <t>350x70x250mm</t>
  </si>
  <si>
    <r>
      <rPr>
        <b/>
        <sz val="9"/>
        <rFont val="Arial"/>
        <charset val="134"/>
      </rPr>
      <t>250g</t>
    </r>
    <r>
      <rPr>
        <b/>
        <sz val="9"/>
        <rFont val="宋体"/>
        <charset val="134"/>
      </rPr>
      <t>粉灰裱</t>
    </r>
    <r>
      <rPr>
        <b/>
        <sz val="9"/>
        <rFont val="Arial"/>
        <charset val="134"/>
      </rPr>
      <t>AE</t>
    </r>
    <r>
      <rPr>
        <b/>
        <sz val="9"/>
        <rFont val="宋体"/>
        <charset val="134"/>
      </rPr>
      <t>坑</t>
    </r>
    <r>
      <rPr>
        <b/>
        <sz val="9"/>
        <rFont val="Arial"/>
        <charset val="134"/>
      </rPr>
      <t>250g</t>
    </r>
    <r>
      <rPr>
        <b/>
        <sz val="9"/>
        <rFont val="宋体"/>
        <charset val="134"/>
      </rPr>
      <t>粉灰</t>
    </r>
    <r>
      <rPr>
        <b/>
        <sz val="9"/>
        <rFont val="Arial"/>
        <charset val="134"/>
      </rPr>
      <t>+4C+1</t>
    </r>
    <r>
      <rPr>
        <b/>
        <sz val="9"/>
        <rFont val="宋体"/>
        <charset val="134"/>
      </rPr>
      <t>专</t>
    </r>
    <r>
      <rPr>
        <b/>
        <sz val="9"/>
        <rFont val="Arial"/>
        <charset val="134"/>
      </rPr>
      <t>+</t>
    </r>
    <r>
      <rPr>
        <b/>
        <sz val="9"/>
        <color rgb="FFFF0000"/>
        <rFont val="宋体"/>
        <charset val="134"/>
      </rPr>
      <t>反</t>
    </r>
    <r>
      <rPr>
        <b/>
        <sz val="9"/>
        <color rgb="FFFF0000"/>
        <rFont val="Arial"/>
        <charset val="134"/>
      </rPr>
      <t>4C+</t>
    </r>
    <r>
      <rPr>
        <b/>
        <sz val="9"/>
        <rFont val="宋体"/>
        <charset val="134"/>
      </rPr>
      <t>正反都</t>
    </r>
    <r>
      <rPr>
        <b/>
        <sz val="9"/>
        <color rgb="FFFF0000"/>
        <rFont val="宋体"/>
        <charset val="134"/>
      </rPr>
      <t>过哑膜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啤成品</t>
    </r>
  </si>
  <si>
    <r>
      <rPr>
        <sz val="11"/>
        <color theme="1"/>
        <rFont val="Arial"/>
        <charset val="134"/>
      </rPr>
      <t>25.12.5</t>
    </r>
    <r>
      <rPr>
        <sz val="11"/>
        <color theme="1"/>
        <rFont val="宋体"/>
        <charset val="134"/>
      </rPr>
      <t>日付，扫码付</t>
    </r>
  </si>
  <si>
    <r>
      <rPr>
        <sz val="11"/>
        <color theme="1"/>
        <rFont val="宋体"/>
        <charset val="134"/>
      </rPr>
      <t>微信下单</t>
    </r>
  </si>
  <si>
    <r>
      <rPr>
        <sz val="12"/>
        <color theme="1"/>
        <rFont val="宋体"/>
        <charset val="134"/>
      </rPr>
      <t>支付宝付全款</t>
    </r>
    <r>
      <rPr>
        <sz val="12"/>
        <color theme="1"/>
        <rFont val="Arial"/>
        <charset val="134"/>
      </rPr>
      <t xml:space="preserve"> </t>
    </r>
  </si>
  <si>
    <t>DD260124014</t>
  </si>
  <si>
    <t>飞机盒</t>
  </si>
  <si>
    <t>165x165x50mm</t>
  </si>
  <si>
    <r>
      <rPr>
        <b/>
        <sz val="9"/>
        <rFont val="宋体"/>
        <charset val="134"/>
      </rPr>
      <t>400g白卡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四色印刷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</si>
  <si>
    <r>
      <rPr>
        <b/>
        <sz val="10"/>
        <color rgb="FF000000"/>
        <rFont val="宋体"/>
        <charset val="0"/>
      </rPr>
      <t>支付宝付全款</t>
    </r>
    <r>
      <rPr>
        <b/>
        <sz val="10"/>
        <color rgb="FF000000"/>
        <rFont val="Arial"/>
        <charset val="0"/>
      </rPr>
      <t>1.24</t>
    </r>
    <r>
      <rPr>
        <b/>
        <sz val="10"/>
        <color rgb="FF000000"/>
        <rFont val="宋体"/>
        <charset val="0"/>
      </rPr>
      <t>日</t>
    </r>
  </si>
  <si>
    <t>DD260129002</t>
  </si>
  <si>
    <r>
      <rPr>
        <b/>
        <sz val="11"/>
        <color theme="1"/>
        <rFont val="宋体"/>
        <charset val="134"/>
      </rPr>
      <t>捏捏包装盒</t>
    </r>
  </si>
  <si>
    <t>180x180x70mm</t>
  </si>
  <si>
    <r>
      <rPr>
        <b/>
        <sz val="9"/>
        <rFont val="Arial"/>
        <charset val="134"/>
      </rPr>
      <t>250g</t>
    </r>
    <r>
      <rPr>
        <b/>
        <sz val="9"/>
        <rFont val="宋体"/>
        <charset val="134"/>
      </rPr>
      <t>白卡裱</t>
    </r>
    <r>
      <rPr>
        <b/>
        <sz val="9"/>
        <rFont val="Arial"/>
        <charset val="134"/>
      </rPr>
      <t>A9</t>
    </r>
    <r>
      <rPr>
        <b/>
        <sz val="9"/>
        <rFont val="宋体"/>
        <charset val="134"/>
      </rPr>
      <t>加强芯</t>
    </r>
    <r>
      <rPr>
        <b/>
        <sz val="9"/>
        <rFont val="Arial"/>
        <charset val="134"/>
      </rPr>
      <t>+</t>
    </r>
    <r>
      <rPr>
        <b/>
        <sz val="9"/>
        <color rgb="FFFF0000"/>
        <rFont val="Arial"/>
        <charset val="134"/>
      </rPr>
      <t>4C</t>
    </r>
    <r>
      <rPr>
        <b/>
        <sz val="9"/>
        <color rgb="FFFF0000"/>
        <rFont val="宋体"/>
        <charset val="134"/>
      </rPr>
      <t>印刷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过光油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粘盒</t>
    </r>
  </si>
  <si>
    <r>
      <rPr>
        <sz val="11"/>
        <color theme="1"/>
        <rFont val="Arial"/>
        <charset val="134"/>
      </rPr>
      <t>26.1.28</t>
    </r>
    <r>
      <rPr>
        <sz val="11"/>
        <color theme="1"/>
        <rFont val="宋体"/>
        <charset val="134"/>
      </rPr>
      <t>日付，扫码付</t>
    </r>
    <r>
      <rPr>
        <sz val="11"/>
        <color theme="1"/>
        <rFont val="Arial"/>
        <charset val="134"/>
      </rPr>
      <t>2930</t>
    </r>
    <r>
      <rPr>
        <sz val="11"/>
        <color theme="1"/>
        <rFont val="宋体"/>
        <charset val="134"/>
      </rPr>
      <t>元</t>
    </r>
  </si>
  <si>
    <r>
      <rPr>
        <sz val="11"/>
        <color theme="1"/>
        <rFont val="Arial"/>
        <charset val="134"/>
      </rPr>
      <t>155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198</t>
    </r>
    <r>
      <rPr>
        <sz val="11"/>
        <color theme="1"/>
        <rFont val="宋体"/>
        <charset val="134"/>
      </rPr>
      <t>元为运费</t>
    </r>
  </si>
  <si>
    <t>DD260202006</t>
  </si>
  <si>
    <r>
      <rPr>
        <b/>
        <sz val="11"/>
        <color theme="1"/>
        <rFont val="Arial"/>
        <charset val="134"/>
      </rPr>
      <t>PUNIPAL</t>
    </r>
    <r>
      <rPr>
        <b/>
        <sz val="11"/>
        <color theme="1"/>
        <rFont val="宋体"/>
        <charset val="134"/>
      </rPr>
      <t>飞机盒配用内卡</t>
    </r>
  </si>
  <si>
    <t>621 x 100 MM</t>
  </si>
  <si>
    <r>
      <rPr>
        <b/>
        <sz val="9"/>
        <rFont val="Arial"/>
        <charset val="134"/>
      </rPr>
      <t>400g</t>
    </r>
    <r>
      <rPr>
        <b/>
        <sz val="9"/>
        <rFont val="宋体"/>
        <charset val="134"/>
      </rPr>
      <t>白卡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无印刷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</si>
  <si>
    <r>
      <rPr>
        <sz val="8"/>
        <color theme="1"/>
        <rFont val="宋体"/>
        <charset val="134"/>
      </rPr>
      <t>付</t>
    </r>
    <r>
      <rPr>
        <sz val="8"/>
        <color theme="1"/>
        <rFont val="Arial"/>
        <charset val="134"/>
      </rPr>
      <t>2930</t>
    </r>
    <r>
      <rPr>
        <sz val="8"/>
        <color theme="1"/>
        <rFont val="宋体"/>
        <charset val="134"/>
      </rPr>
      <t>元，</t>
    </r>
    <r>
      <rPr>
        <sz val="8"/>
        <color theme="1"/>
        <rFont val="Arial"/>
        <charset val="134"/>
      </rPr>
      <t>890-155</t>
    </r>
    <r>
      <rPr>
        <sz val="8"/>
        <color theme="1"/>
        <rFont val="宋体"/>
        <charset val="134"/>
      </rPr>
      <t>物流费</t>
    </r>
    <r>
      <rPr>
        <sz val="8"/>
        <color theme="1"/>
        <rFont val="Arial"/>
        <charset val="134"/>
      </rPr>
      <t>-198</t>
    </r>
    <r>
      <rPr>
        <sz val="8"/>
        <color theme="1"/>
        <rFont val="宋体"/>
        <charset val="134"/>
      </rPr>
      <t>物流费</t>
    </r>
    <r>
      <rPr>
        <sz val="8"/>
        <color theme="1"/>
        <rFont val="Arial"/>
        <charset val="134"/>
      </rPr>
      <t>=</t>
    </r>
    <r>
      <rPr>
        <sz val="8"/>
        <color theme="1"/>
        <rFont val="宋体"/>
        <charset val="134"/>
      </rPr>
      <t>退</t>
    </r>
    <r>
      <rPr>
        <sz val="8"/>
        <color theme="1"/>
        <rFont val="Arial"/>
        <charset val="134"/>
      </rPr>
      <t>537</t>
    </r>
    <r>
      <rPr>
        <sz val="8"/>
        <color theme="1"/>
        <rFont val="宋体"/>
        <charset val="134"/>
      </rPr>
      <t>元</t>
    </r>
  </si>
  <si>
    <r>
      <rPr>
        <sz val="11"/>
        <color theme="1"/>
        <rFont val="宋体"/>
        <charset val="134"/>
      </rPr>
      <t>微信</t>
    </r>
    <r>
      <rPr>
        <sz val="11"/>
        <color theme="1"/>
        <rFont val="Arial"/>
        <charset val="134"/>
      </rPr>
      <t>Ankey</t>
    </r>
    <r>
      <rPr>
        <sz val="11"/>
        <color theme="1"/>
        <rFont val="宋体"/>
        <charset val="134"/>
      </rPr>
      <t>陈小姐</t>
    </r>
  </si>
  <si>
    <t>DD260304011</t>
  </si>
  <si>
    <r>
      <rPr>
        <sz val="11"/>
        <color theme="1"/>
        <rFont val="宋体"/>
        <charset val="134"/>
      </rPr>
      <t>双插开窗盒</t>
    </r>
  </si>
  <si>
    <t>110x120x95mm</t>
  </si>
  <si>
    <r>
      <rPr>
        <b/>
        <sz val="10"/>
        <rFont val="宋体"/>
        <charset val="134"/>
      </rPr>
      <t>纸板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开窗不贴胶片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啤成品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粘盒</t>
    </r>
  </si>
  <si>
    <t>5096117124594148805</t>
  </si>
  <si>
    <r>
      <rPr>
        <b/>
        <sz val="11"/>
        <color rgb="FF000000"/>
        <rFont val="宋体"/>
        <charset val="0"/>
      </rPr>
      <t>阿里付全款</t>
    </r>
    <r>
      <rPr>
        <b/>
        <sz val="11"/>
        <color rgb="FF000000"/>
        <rFont val="Arial"/>
        <charset val="0"/>
      </rPr>
      <t>3.4</t>
    </r>
    <r>
      <rPr>
        <b/>
        <sz val="11"/>
        <color rgb="FF000000"/>
        <rFont val="宋体"/>
        <charset val="0"/>
      </rPr>
      <t>日</t>
    </r>
  </si>
  <si>
    <t>DD260307005</t>
  </si>
  <si>
    <r>
      <rPr>
        <sz val="10.5"/>
        <color rgb="FF111111"/>
        <rFont val="microsoft yahei"/>
        <charset val="134"/>
      </rPr>
      <t>旋转手机支架飞机盒</t>
    </r>
  </si>
  <si>
    <t>130x85x45mm</t>
  </si>
  <si>
    <r>
      <rPr>
        <b/>
        <sz val="10"/>
        <rFont val="Arial"/>
        <charset val="134"/>
      </rPr>
      <t>250</t>
    </r>
    <r>
      <rPr>
        <b/>
        <sz val="10"/>
        <rFont val="宋体"/>
        <charset val="134"/>
      </rPr>
      <t>克白卡裱</t>
    </r>
    <r>
      <rPr>
        <b/>
        <sz val="10"/>
        <rFont val="Arial"/>
        <charset val="134"/>
      </rPr>
      <t>A9</t>
    </r>
    <r>
      <rPr>
        <b/>
        <sz val="10"/>
        <rFont val="宋体"/>
        <charset val="134"/>
      </rPr>
      <t>加强芯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印刷四色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过光油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开留不贴胶片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粘，飞机盒</t>
    </r>
  </si>
  <si>
    <t>5099133853319148805</t>
  </si>
  <si>
    <r>
      <rPr>
        <b/>
        <sz val="11"/>
        <color rgb="FF000000"/>
        <rFont val="宋体"/>
        <charset val="0"/>
      </rPr>
      <t>阿里付全款</t>
    </r>
    <r>
      <rPr>
        <b/>
        <sz val="11"/>
        <color rgb="FF000000"/>
        <rFont val="Arial"/>
        <charset val="0"/>
      </rPr>
      <t>3.7</t>
    </r>
    <r>
      <rPr>
        <b/>
        <sz val="11"/>
        <color rgb="FF000000"/>
        <rFont val="宋体"/>
        <charset val="0"/>
      </rPr>
      <t>日</t>
    </r>
  </si>
  <si>
    <r>
      <rPr>
        <sz val="11"/>
        <color theme="1"/>
        <rFont val="宋体"/>
        <charset val="134"/>
      </rPr>
      <t>不才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张先生</t>
    </r>
    <r>
      <rPr>
        <sz val="11"/>
        <color theme="1"/>
        <rFont val="Arial"/>
        <charset val="134"/>
      </rPr>
      <t>)</t>
    </r>
  </si>
  <si>
    <t>DD260309001</t>
  </si>
  <si>
    <r>
      <rPr>
        <b/>
        <sz val="10"/>
        <color theme="1"/>
        <rFont val="Arial"/>
        <charset val="134"/>
      </rPr>
      <t xml:space="preserve">IRTUSDE </t>
    </r>
    <r>
      <rPr>
        <b/>
        <sz val="10"/>
        <color theme="1"/>
        <rFont val="宋体"/>
        <charset val="134"/>
      </rPr>
      <t>企鹅包装盒</t>
    </r>
  </si>
  <si>
    <t>80x80x120mm</t>
  </si>
  <si>
    <r>
      <rPr>
        <b/>
        <sz val="10"/>
        <rFont val="Arial"/>
        <charset val="134"/>
      </rPr>
      <t>350</t>
    </r>
    <r>
      <rPr>
        <b/>
        <sz val="10"/>
        <rFont val="宋体"/>
        <charset val="134"/>
      </rPr>
      <t>克白卡</t>
    </r>
    <r>
      <rPr>
        <b/>
        <sz val="10"/>
        <rFont val="Arial"/>
        <charset val="134"/>
      </rPr>
      <t>+4C</t>
    </r>
    <r>
      <rPr>
        <b/>
        <sz val="10"/>
        <rFont val="宋体"/>
        <charset val="134"/>
      </rPr>
      <t>印刷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过光油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啤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粘盒</t>
    </r>
  </si>
  <si>
    <t>5099216187282947724</t>
  </si>
  <si>
    <t>5099390246715947724</t>
  </si>
  <si>
    <r>
      <rPr>
        <b/>
        <sz val="9"/>
        <color rgb="FF000000"/>
        <rFont val="宋体"/>
        <charset val="0"/>
      </rPr>
      <t>支付宝付全款</t>
    </r>
    <r>
      <rPr>
        <b/>
        <sz val="9"/>
        <color rgb="FF000000"/>
        <rFont val="Arial"/>
        <charset val="0"/>
      </rPr>
      <t>3.9</t>
    </r>
    <r>
      <rPr>
        <b/>
        <sz val="9"/>
        <color rgb="FF000000"/>
        <rFont val="宋体"/>
        <charset val="0"/>
      </rPr>
      <t>日</t>
    </r>
  </si>
  <si>
    <r>
      <rPr>
        <sz val="11"/>
        <color theme="1"/>
        <rFont val="宋体"/>
        <charset val="134"/>
      </rPr>
      <t>麦东</t>
    </r>
  </si>
  <si>
    <t>DD260303002</t>
  </si>
  <si>
    <r>
      <rPr>
        <b/>
        <sz val="9"/>
        <color theme="1"/>
        <rFont val="宋体"/>
        <charset val="134"/>
      </rPr>
      <t>麦东哑光扣底盒</t>
    </r>
  </si>
  <si>
    <t>9 x 9 x 12.5 CM</t>
  </si>
  <si>
    <r>
      <rPr>
        <b/>
        <sz val="9"/>
        <rFont val="Arial"/>
        <charset val="134"/>
      </rPr>
      <t>250g</t>
    </r>
    <r>
      <rPr>
        <b/>
        <sz val="9"/>
        <rFont val="宋体"/>
        <charset val="134"/>
      </rPr>
      <t>宁波单铜纸</t>
    </r>
    <r>
      <rPr>
        <b/>
        <sz val="9"/>
        <rFont val="Arial"/>
        <charset val="134"/>
      </rPr>
      <t>W9</t>
    </r>
    <r>
      <rPr>
        <b/>
        <sz val="9"/>
        <rFont val="宋体"/>
        <charset val="134"/>
      </rPr>
      <t>加强芯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四色印刷</t>
    </r>
    <r>
      <rPr>
        <b/>
        <sz val="9"/>
        <rFont val="Arial"/>
        <charset val="134"/>
      </rPr>
      <t>+</t>
    </r>
    <r>
      <rPr>
        <b/>
        <sz val="9"/>
        <color rgb="FFFF0000"/>
        <rFont val="宋体"/>
        <charset val="134"/>
      </rPr>
      <t>过哑胶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粘</t>
    </r>
  </si>
  <si>
    <t>5093228559274775128</t>
  </si>
  <si>
    <r>
      <rPr>
        <sz val="11"/>
        <color theme="1"/>
        <rFont val="宋体"/>
        <charset val="134"/>
      </rPr>
      <t>阿里付全款</t>
    </r>
    <r>
      <rPr>
        <sz val="11"/>
        <color theme="1"/>
        <rFont val="Arial"/>
        <charset val="134"/>
      </rPr>
      <t>3.3</t>
    </r>
    <r>
      <rPr>
        <sz val="11"/>
        <color theme="1"/>
        <rFont val="宋体"/>
        <charset val="134"/>
      </rPr>
      <t>日</t>
    </r>
  </si>
  <si>
    <t>DD260316010</t>
  </si>
  <si>
    <r>
      <rPr>
        <b/>
        <sz val="6"/>
        <color theme="1"/>
        <rFont val="宋体"/>
        <charset val="134"/>
      </rPr>
      <t>公仔包装彩盒</t>
    </r>
    <r>
      <rPr>
        <b/>
        <sz val="6"/>
        <color theme="1"/>
        <rFont val="Arial"/>
        <charset val="134"/>
      </rPr>
      <t>-</t>
    </r>
    <r>
      <rPr>
        <b/>
        <sz val="6"/>
        <color theme="1"/>
        <rFont val="宋体"/>
        <charset val="134"/>
      </rPr>
      <t>哑光母子蝾螈</t>
    </r>
    <r>
      <rPr>
        <b/>
        <sz val="6"/>
        <color theme="1"/>
        <rFont val="Arial"/>
        <charset val="134"/>
      </rPr>
      <t>onsoyours</t>
    </r>
  </si>
  <si>
    <t>28*19.5*9CM</t>
  </si>
  <si>
    <r>
      <rPr>
        <b/>
        <sz val="9"/>
        <rFont val="Arial"/>
        <charset val="134"/>
      </rPr>
      <t>350g</t>
    </r>
    <r>
      <rPr>
        <b/>
        <sz val="9"/>
        <rFont val="宋体"/>
        <charset val="134"/>
      </rPr>
      <t>白卡裱</t>
    </r>
    <r>
      <rPr>
        <b/>
        <sz val="9"/>
        <rFont val="Arial"/>
        <charset val="134"/>
      </rPr>
      <t>W9+110g+</t>
    </r>
    <r>
      <rPr>
        <b/>
        <sz val="9"/>
        <rFont val="宋体"/>
        <charset val="134"/>
      </rPr>
      <t>四色印刷</t>
    </r>
    <r>
      <rPr>
        <b/>
        <sz val="9"/>
        <rFont val="Arial"/>
        <charset val="134"/>
      </rPr>
      <t>+</t>
    </r>
    <r>
      <rPr>
        <b/>
        <sz val="9"/>
        <color rgb="FFFF0000"/>
        <rFont val="宋体"/>
        <charset val="134"/>
      </rPr>
      <t>过哑胶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</si>
  <si>
    <t>5101279887098775128</t>
  </si>
  <si>
    <r>
      <rPr>
        <sz val="11"/>
        <color theme="1"/>
        <rFont val="宋体"/>
        <charset val="134"/>
      </rPr>
      <t>阿里付全款</t>
    </r>
    <r>
      <rPr>
        <sz val="11"/>
        <color theme="1"/>
        <rFont val="Arial"/>
        <charset val="134"/>
      </rPr>
      <t>3.16</t>
    </r>
    <r>
      <rPr>
        <sz val="11"/>
        <color theme="1"/>
        <rFont val="宋体"/>
        <charset val="134"/>
      </rPr>
      <t>日</t>
    </r>
  </si>
  <si>
    <r>
      <rPr>
        <sz val="6"/>
        <color theme="1"/>
        <rFont val="宋体"/>
        <charset val="134"/>
      </rPr>
      <t>公仔包装彩盒</t>
    </r>
    <r>
      <rPr>
        <sz val="6"/>
        <color theme="1"/>
        <rFont val="Arial"/>
        <charset val="134"/>
      </rPr>
      <t>-</t>
    </r>
    <r>
      <rPr>
        <sz val="6"/>
        <color theme="1"/>
        <rFont val="宋体"/>
        <charset val="134"/>
      </rPr>
      <t>哑光母子蝾螈</t>
    </r>
    <r>
      <rPr>
        <sz val="6"/>
        <color theme="1"/>
        <rFont val="Arial"/>
        <charset val="134"/>
      </rPr>
      <t>shownicer</t>
    </r>
  </si>
  <si>
    <r>
      <rPr>
        <sz val="10.5"/>
        <color rgb="FF111111"/>
        <rFont val="宋体"/>
        <charset val="134"/>
      </rPr>
      <t>深圳正鸿科技电子有限公司</t>
    </r>
    <r>
      <rPr>
        <sz val="10.5"/>
        <color rgb="FF111111"/>
        <rFont val="Arial"/>
        <charset val="134"/>
      </rPr>
      <t>/</t>
    </r>
    <r>
      <rPr>
        <sz val="10.5"/>
        <color rgb="FF111111"/>
        <rFont val="宋体"/>
        <charset val="134"/>
      </rPr>
      <t>曹先生</t>
    </r>
  </si>
  <si>
    <t>DD260318024</t>
  </si>
  <si>
    <t>Maruchan Gold Box</t>
  </si>
  <si>
    <t>130x152.4x143mm</t>
  </si>
  <si>
    <r>
      <rPr>
        <b/>
        <sz val="9"/>
        <rFont val="Arial"/>
        <charset val="134"/>
      </rPr>
      <t>300g</t>
    </r>
    <r>
      <rPr>
        <b/>
        <sz val="9"/>
        <rFont val="宋体"/>
        <charset val="134"/>
      </rPr>
      <t>白卡对裱</t>
    </r>
    <r>
      <rPr>
        <b/>
        <sz val="9"/>
        <rFont val="Arial"/>
        <charset val="134"/>
      </rPr>
      <t>+</t>
    </r>
    <r>
      <rPr>
        <b/>
        <sz val="9"/>
        <color rgb="FFFF0000"/>
        <rFont val="宋体"/>
        <charset val="134"/>
      </rPr>
      <t>彩色印刷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正面防刮花哑膜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反面过光油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正反都烫金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对裱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  <r>
      <rPr>
        <b/>
        <sz val="9"/>
        <rFont val="Arial"/>
        <charset val="134"/>
      </rPr>
      <t>+V</t>
    </r>
    <r>
      <rPr>
        <b/>
        <sz val="9"/>
        <rFont val="宋体"/>
        <charset val="134"/>
      </rPr>
      <t>槽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粘盒</t>
    </r>
  </si>
  <si>
    <t>3290798715615072188</t>
  </si>
  <si>
    <r>
      <rPr>
        <b/>
        <sz val="9"/>
        <color rgb="FF000000"/>
        <rFont val="宋体"/>
        <charset val="0"/>
      </rPr>
      <t>阿里付全款</t>
    </r>
    <r>
      <rPr>
        <b/>
        <sz val="9"/>
        <color rgb="FF000000"/>
        <rFont val="Arial"/>
        <charset val="0"/>
      </rPr>
      <t>3.18</t>
    </r>
    <r>
      <rPr>
        <b/>
        <sz val="9"/>
        <color rgb="FF000000"/>
        <rFont val="宋体"/>
        <charset val="0"/>
      </rPr>
      <t>日，先采后付</t>
    </r>
  </si>
  <si>
    <r>
      <rPr>
        <sz val="11"/>
        <color theme="1"/>
        <rFont val="宋体"/>
        <charset val="134"/>
      </rPr>
      <t>东莞市鸽士锋金属制品有限公司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何小姐</t>
    </r>
  </si>
  <si>
    <t>DD260320004</t>
  </si>
  <si>
    <r>
      <rPr>
        <b/>
        <sz val="11"/>
        <color theme="1"/>
        <rFont val="Arial"/>
        <charset val="134"/>
      </rPr>
      <t>2.2L</t>
    </r>
    <r>
      <rPr>
        <b/>
        <sz val="11"/>
        <color theme="1"/>
        <rFont val="宋体"/>
        <charset val="134"/>
      </rPr>
      <t>方形圆角水龙头牛皮盒</t>
    </r>
  </si>
  <si>
    <t>179X112X179mm</t>
  </si>
  <si>
    <r>
      <rPr>
        <b/>
        <sz val="9"/>
        <rFont val="Arial"/>
        <charset val="134"/>
      </rPr>
      <t>300g</t>
    </r>
    <r>
      <rPr>
        <b/>
        <sz val="9"/>
        <rFont val="宋体"/>
        <charset val="134"/>
      </rPr>
      <t>粉灰裱</t>
    </r>
    <r>
      <rPr>
        <b/>
        <sz val="9"/>
        <rFont val="Arial"/>
        <charset val="134"/>
      </rPr>
      <t>AE</t>
    </r>
    <r>
      <rPr>
        <b/>
        <sz val="9"/>
        <rFont val="宋体"/>
        <charset val="134"/>
      </rPr>
      <t>加强芯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四色印刷</t>
    </r>
    <r>
      <rPr>
        <b/>
        <sz val="9"/>
        <rFont val="Arial"/>
        <charset val="134"/>
      </rPr>
      <t>+</t>
    </r>
    <r>
      <rPr>
        <b/>
        <sz val="9"/>
        <color rgb="FFFF0000"/>
        <rFont val="宋体"/>
        <charset val="134"/>
      </rPr>
      <t>过哑胶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啤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粘</t>
    </r>
  </si>
  <si>
    <t>5102729857305593617</t>
  </si>
  <si>
    <r>
      <rPr>
        <b/>
        <sz val="9"/>
        <color rgb="FF000000"/>
        <rFont val="宋体"/>
        <charset val="0"/>
      </rPr>
      <t>阿里付全款</t>
    </r>
    <r>
      <rPr>
        <b/>
        <sz val="9"/>
        <color rgb="FF000000"/>
        <rFont val="Arial"/>
        <charset val="0"/>
      </rPr>
      <t>3.20</t>
    </r>
    <r>
      <rPr>
        <b/>
        <sz val="9"/>
        <color rgb="FF000000"/>
        <rFont val="宋体"/>
        <charset val="0"/>
      </rPr>
      <t>日</t>
    </r>
  </si>
  <si>
    <r>
      <rPr>
        <sz val="11"/>
        <color theme="1"/>
        <rFont val="宋体"/>
        <charset val="134"/>
      </rPr>
      <t>轩赐</t>
    </r>
    <r>
      <rPr>
        <sz val="11"/>
        <color theme="1"/>
        <rFont val="Arial"/>
        <charset val="134"/>
      </rPr>
      <t>-</t>
    </r>
    <r>
      <rPr>
        <sz val="11"/>
        <color theme="1"/>
        <rFont val="宋体"/>
        <charset val="134"/>
      </rPr>
      <t>龙先生</t>
    </r>
  </si>
  <si>
    <t>DD260316001</t>
  </si>
  <si>
    <r>
      <rPr>
        <sz val="9"/>
        <color rgb="FF111111"/>
        <rFont val="宋体"/>
        <charset val="134"/>
      </rPr>
      <t>吹风机彩盒</t>
    </r>
  </si>
  <si>
    <t>14 x 13.5 x 34 CM</t>
  </si>
  <si>
    <r>
      <rPr>
        <sz val="10.5"/>
        <color rgb="FF111111"/>
        <rFont val="Arial"/>
        <charset val="134"/>
      </rPr>
      <t>300</t>
    </r>
    <r>
      <rPr>
        <sz val="10.5"/>
        <color rgb="FF111111"/>
        <rFont val="宋体"/>
        <charset val="134"/>
      </rPr>
      <t>克白卡对裱过哑胶</t>
    </r>
  </si>
  <si>
    <r>
      <rPr>
        <sz val="10"/>
        <color theme="1"/>
        <rFont val="宋体"/>
        <charset val="134"/>
      </rPr>
      <t>王小姐接单转来</t>
    </r>
  </si>
  <si>
    <r>
      <rPr>
        <sz val="12"/>
        <color theme="1"/>
        <rFont val="宋体"/>
        <charset val="134"/>
      </rPr>
      <t>转王小姐收</t>
    </r>
    <r>
      <rPr>
        <sz val="12"/>
        <color theme="1"/>
        <rFont val="Arial"/>
        <charset val="134"/>
      </rPr>
      <t>3.27</t>
    </r>
    <r>
      <rPr>
        <sz val="12"/>
        <color theme="1"/>
        <rFont val="宋体"/>
        <charset val="134"/>
      </rPr>
      <t>日</t>
    </r>
  </si>
  <si>
    <r>
      <rPr>
        <sz val="11"/>
        <color theme="1"/>
        <rFont val="宋体"/>
        <charset val="134"/>
      </rPr>
      <t>合计：</t>
    </r>
  </si>
  <si>
    <r>
      <rPr>
        <sz val="11"/>
        <color theme="1"/>
        <rFont val="宋体"/>
        <charset val="134"/>
      </rPr>
      <t>元</t>
    </r>
  </si>
  <si>
    <t>系统客户订单</t>
  </si>
  <si>
    <t>深圳市创想三帝科技有限公司</t>
  </si>
  <si>
    <t>DD260303006</t>
  </si>
  <si>
    <t>3401031941</t>
  </si>
  <si>
    <r>
      <rPr>
        <sz val="11"/>
        <color rgb="FF000000"/>
        <rFont val="Arial"/>
        <charset val="134"/>
      </rPr>
      <t>Aidite</t>
    </r>
    <r>
      <rPr>
        <sz val="11"/>
        <color rgb="FF000000"/>
        <rFont val="宋体"/>
        <charset val="134"/>
      </rPr>
      <t>彩盒</t>
    </r>
    <r>
      <rPr>
        <sz val="11"/>
        <color rgb="FF000000"/>
        <rFont val="Arial"/>
        <charset val="134"/>
      </rPr>
      <t>_</t>
    </r>
    <r>
      <rPr>
        <sz val="11"/>
        <color rgb="FF000000"/>
        <rFont val="宋体"/>
        <charset val="134"/>
      </rPr>
      <t>树脂</t>
    </r>
    <r>
      <rPr>
        <sz val="11"/>
        <color rgb="FF000000"/>
        <rFont val="Arial"/>
        <charset val="134"/>
      </rPr>
      <t>_117×117×265_</t>
    </r>
    <r>
      <rPr>
        <sz val="11"/>
        <color rgb="FF000000"/>
        <rFont val="宋体"/>
        <charset val="134"/>
      </rPr>
      <t>灰卡</t>
    </r>
    <r>
      <rPr>
        <sz val="11"/>
        <color rgb="FF000000"/>
        <rFont val="Arial"/>
        <charset val="134"/>
      </rPr>
      <t>+E</t>
    </r>
    <r>
      <rPr>
        <sz val="11"/>
        <color rgb="FF000000"/>
        <rFont val="宋体"/>
        <charset val="134"/>
      </rPr>
      <t>坑</t>
    </r>
    <r>
      <rPr>
        <sz val="11"/>
        <color rgb="FF000000"/>
        <rFont val="Arial"/>
        <charset val="134"/>
      </rPr>
      <t>+</t>
    </r>
    <r>
      <rPr>
        <sz val="11"/>
        <color rgb="FF000000"/>
        <rFont val="宋体"/>
        <charset val="134"/>
      </rPr>
      <t>里纸</t>
    </r>
    <r>
      <rPr>
        <sz val="11"/>
        <color rgb="FF000000"/>
        <rFont val="Arial"/>
        <charset val="134"/>
      </rPr>
      <t>_A_1KG</t>
    </r>
  </si>
  <si>
    <r>
      <rPr>
        <b/>
        <sz val="10"/>
        <rFont val="Arial"/>
        <charset val="134"/>
      </rPr>
      <t>300g</t>
    </r>
    <r>
      <rPr>
        <b/>
        <sz val="10"/>
        <rFont val="宋体"/>
        <charset val="134"/>
      </rPr>
      <t>优质单面牛卡</t>
    </r>
    <r>
      <rPr>
        <b/>
        <sz val="10"/>
        <rFont val="Arial"/>
        <charset val="134"/>
      </rPr>
      <t>+A96(</t>
    </r>
    <r>
      <rPr>
        <b/>
        <sz val="10"/>
        <rFont val="宋体"/>
        <charset val="134"/>
      </rPr>
      <t>面</t>
    </r>
    <r>
      <rPr>
        <b/>
        <sz val="10"/>
        <rFont val="Arial"/>
        <charset val="134"/>
      </rPr>
      <t>110g+</t>
    </r>
    <r>
      <rPr>
        <b/>
        <sz val="10"/>
        <rFont val="宋体"/>
        <charset val="134"/>
      </rPr>
      <t>芯</t>
    </r>
    <r>
      <rPr>
        <b/>
        <sz val="10"/>
        <rFont val="Arial"/>
        <charset val="134"/>
      </rPr>
      <t>130g)</t>
    </r>
  </si>
  <si>
    <t>500.00</t>
  </si>
  <si>
    <t>847.50</t>
  </si>
  <si>
    <r>
      <rPr>
        <sz val="11"/>
        <color theme="1"/>
        <rFont val="Arial"/>
        <charset val="134"/>
      </rPr>
      <t>4.20</t>
    </r>
    <r>
      <rPr>
        <sz val="11"/>
        <color theme="1"/>
        <rFont val="宋体"/>
        <charset val="134"/>
      </rPr>
      <t>日汇款</t>
    </r>
  </si>
  <si>
    <r>
      <rPr>
        <sz val="12"/>
        <color theme="1"/>
        <rFont val="宋体"/>
        <charset val="134"/>
      </rPr>
      <t>创想三帝</t>
    </r>
    <r>
      <rPr>
        <sz val="12"/>
        <color theme="1"/>
        <rFont val="Arial"/>
        <charset val="134"/>
      </rPr>
      <t>26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月发票</t>
    </r>
    <r>
      <rPr>
        <sz val="12"/>
        <color theme="1"/>
        <rFont val="Arial"/>
        <charset val="134"/>
      </rPr>
      <t>5085</t>
    </r>
    <r>
      <rPr>
        <sz val="12"/>
        <color theme="1"/>
        <rFont val="宋体"/>
        <charset val="134"/>
      </rPr>
      <t>元</t>
    </r>
    <r>
      <rPr>
        <sz val="12"/>
        <color theme="1"/>
        <rFont val="Arial"/>
        <charset val="134"/>
      </rPr>
      <t>-3.26</t>
    </r>
    <r>
      <rPr>
        <sz val="12"/>
        <color theme="1"/>
        <rFont val="宋体"/>
        <charset val="134"/>
      </rPr>
      <t>日开票上传至网站</t>
    </r>
  </si>
  <si>
    <t>DD260303007</t>
  </si>
  <si>
    <t>1000.00</t>
  </si>
  <si>
    <t>1695.00</t>
  </si>
  <si>
    <t>DD260312004</t>
  </si>
  <si>
    <t>合计：</t>
  </si>
  <si>
    <t>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</si>
</sst>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&quot;￥&quot;#,##0.000;&quot;￥&quot;\-#,##0.000"/>
  </numFmts>
  <fonts count="7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8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宋体"/>
      <charset val="134"/>
    </font>
    <font>
      <sz val="10.5"/>
      <color rgb="FF111111"/>
      <name val="宋体"/>
      <charset val="134"/>
    </font>
    <font>
      <sz val="10.5"/>
      <color rgb="FF111111"/>
      <name val="Arial"/>
      <charset val="134"/>
    </font>
    <font>
      <sz val="11"/>
      <color rgb="FF000000"/>
      <name val="Arial"/>
      <charset val="134"/>
    </font>
    <font>
      <b/>
      <sz val="10"/>
      <name val="Arial"/>
      <charset val="134"/>
    </font>
    <font>
      <sz val="10"/>
      <color rgb="FF000000"/>
      <name val="Arial"/>
      <charset val="134"/>
    </font>
    <font>
      <b/>
      <sz val="11"/>
      <name val="Arial"/>
      <charset val="0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Arial"/>
      <charset val="134"/>
    </font>
    <font>
      <sz val="14"/>
      <color theme="1"/>
      <name val="Arial"/>
      <charset val="134"/>
    </font>
    <font>
      <sz val="12"/>
      <color theme="1"/>
      <name val="Arial"/>
      <charset val="134"/>
    </font>
    <font>
      <b/>
      <sz val="9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0"/>
    </font>
    <font>
      <sz val="12"/>
      <color rgb="FF111111"/>
      <name val="Arial"/>
      <charset val="134"/>
    </font>
    <font>
      <b/>
      <sz val="10.5"/>
      <color rgb="FF111111"/>
      <name val="Arial"/>
      <charset val="134"/>
    </font>
    <font>
      <b/>
      <sz val="10"/>
      <color theme="1"/>
      <name val="Arial"/>
      <charset val="134"/>
    </font>
    <font>
      <b/>
      <sz val="9"/>
      <name val="宋体"/>
      <charset val="134"/>
    </font>
    <font>
      <b/>
      <sz val="10"/>
      <color rgb="FF000000"/>
      <name val="宋体"/>
      <charset val="0"/>
    </font>
    <font>
      <sz val="8"/>
      <color theme="1"/>
      <name val="Arial"/>
      <charset val="134"/>
    </font>
    <font>
      <b/>
      <sz val="10"/>
      <color rgb="FF000000"/>
      <name val="Arial"/>
      <charset val="0"/>
    </font>
    <font>
      <b/>
      <sz val="11"/>
      <color rgb="FF000000"/>
      <name val="Arial"/>
      <charset val="0"/>
    </font>
    <font>
      <b/>
      <sz val="9"/>
      <color rgb="FF000000"/>
      <name val="Arial"/>
      <charset val="0"/>
    </font>
    <font>
      <b/>
      <sz val="9"/>
      <color theme="1"/>
      <name val="Arial"/>
      <charset val="134"/>
    </font>
    <font>
      <b/>
      <sz val="6"/>
      <color theme="1"/>
      <name val="Arial"/>
      <charset val="134"/>
    </font>
    <font>
      <sz val="6"/>
      <color theme="1"/>
      <name val="Arial"/>
      <charset val="134"/>
    </font>
    <font>
      <sz val="9"/>
      <color rgb="FF111111"/>
      <name val="Arial"/>
      <charset val="134"/>
    </font>
    <font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b/>
      <sz val="10.5"/>
      <color rgb="FF111111"/>
      <name val="宋体"/>
      <charset val="134"/>
    </font>
    <font>
      <b/>
      <sz val="12"/>
      <color theme="1"/>
      <name val="宋体"/>
      <charset val="134"/>
    </font>
    <font>
      <b/>
      <sz val="9"/>
      <color rgb="FFFF0000"/>
      <name val="宋体"/>
      <charset val="134"/>
    </font>
    <font>
      <b/>
      <sz val="11"/>
      <color rgb="FF000000"/>
      <name val="宋体"/>
      <charset val="0"/>
    </font>
    <font>
      <b/>
      <sz val="9"/>
      <color rgb="FFFF0000"/>
      <name val="Arial"/>
      <charset val="134"/>
    </font>
    <font>
      <b/>
      <sz val="9"/>
      <color rgb="FF000000"/>
      <name val="宋体"/>
      <charset val="0"/>
    </font>
    <font>
      <b/>
      <sz val="9"/>
      <color theme="1"/>
      <name val="宋体"/>
      <charset val="134"/>
    </font>
    <font>
      <b/>
      <sz val="18"/>
      <color theme="1"/>
      <name val="宋体"/>
      <charset val="134"/>
    </font>
    <font>
      <b/>
      <sz val="18"/>
      <color rgb="FFFF0000"/>
      <name val="宋体"/>
      <charset val="134"/>
    </font>
    <font>
      <b/>
      <sz val="18"/>
      <color rgb="FFFF0000"/>
      <name val="Arial"/>
      <charset val="134"/>
    </font>
    <font>
      <sz val="18"/>
      <color rgb="FFFF0000"/>
      <name val="宋体"/>
      <charset val="134"/>
    </font>
    <font>
      <b/>
      <sz val="18"/>
      <color rgb="FF0070C0"/>
      <name val="宋体"/>
      <charset val="134"/>
    </font>
    <font>
      <sz val="8"/>
      <color theme="1"/>
      <name val="宋体"/>
      <charset val="134"/>
    </font>
    <font>
      <b/>
      <sz val="6"/>
      <color theme="1"/>
      <name val="宋体"/>
      <charset val="134"/>
    </font>
    <font>
      <sz val="10.5"/>
      <color rgb="FF111111"/>
      <name val="microsoft yahei"/>
      <charset val="134"/>
    </font>
    <font>
      <sz val="9"/>
      <color rgb="FF111111"/>
      <name val="宋体"/>
      <charset val="134"/>
    </font>
    <font>
      <sz val="6"/>
      <color theme="1"/>
      <name val="宋体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" borderId="8" applyNumberFormat="0" applyAlignment="0" applyProtection="0">
      <alignment vertical="center"/>
    </xf>
    <xf numFmtId="0" fontId="42" fillId="6" borderId="9" applyNumberFormat="0" applyAlignment="0" applyProtection="0">
      <alignment vertical="center"/>
    </xf>
    <xf numFmtId="0" fontId="43" fillId="6" borderId="8" applyNumberFormat="0" applyAlignment="0" applyProtection="0">
      <alignment vertical="center"/>
    </xf>
    <xf numFmtId="0" fontId="44" fillId="7" borderId="10" applyNumberFormat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176" fontId="2" fillId="0" borderId="2" xfId="0" applyNumberFormat="1" applyFont="1" applyBorder="1" applyAlignment="1">
      <alignment horizontal="center" vertical="center" shrinkToFit="1"/>
    </xf>
    <xf numFmtId="176" fontId="2" fillId="0" borderId="3" xfId="0" applyNumberFormat="1" applyFont="1" applyBorder="1" applyAlignment="1">
      <alignment horizontal="center" vertical="center" shrinkToFit="1"/>
    </xf>
    <xf numFmtId="176" fontId="3" fillId="0" borderId="4" xfId="0" applyNumberFormat="1" applyFont="1" applyBorder="1" applyAlignment="1">
      <alignment vertical="center" shrinkToFit="1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shrinkToFit="1"/>
    </xf>
    <xf numFmtId="176" fontId="1" fillId="0" borderId="4" xfId="0" applyNumberFormat="1" applyFont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177" fontId="10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 shrinkToFit="1"/>
    </xf>
    <xf numFmtId="0" fontId="6" fillId="0" borderId="4" xfId="0" applyFont="1" applyFill="1" applyBorder="1" applyAlignment="1">
      <alignment horizontal="center" vertical="center" wrapText="1"/>
    </xf>
    <xf numFmtId="0" fontId="12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2" fillId="0" borderId="1" xfId="0" applyNumberFormat="1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vertical="center"/>
    </xf>
    <xf numFmtId="176" fontId="1" fillId="2" borderId="4" xfId="0" applyNumberFormat="1" applyFont="1" applyFill="1" applyBorder="1" applyAlignment="1">
      <alignment horizontal="left" vertical="center" shrinkToFit="1"/>
    </xf>
    <xf numFmtId="0" fontId="15" fillId="0" borderId="4" xfId="0" applyFont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 shrinkToFit="1"/>
    </xf>
    <xf numFmtId="0" fontId="16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/>
    </xf>
    <xf numFmtId="5" fontId="3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shrinkToFit="1"/>
    </xf>
    <xf numFmtId="0" fontId="18" fillId="0" borderId="4" xfId="0" applyFont="1" applyFill="1" applyBorder="1" applyAlignment="1">
      <alignment horizontal="left" vertical="center" wrapText="1" shrinkToFit="1"/>
    </xf>
    <xf numFmtId="0" fontId="19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 shrinkToFit="1"/>
    </xf>
    <xf numFmtId="7" fontId="10" fillId="0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22" fillId="0" borderId="4" xfId="0" applyFont="1" applyFill="1" applyBorder="1" applyAlignment="1">
      <alignment horizontal="left" vertical="center" wrapText="1"/>
    </xf>
    <xf numFmtId="5" fontId="13" fillId="0" borderId="4" xfId="0" applyNumberFormat="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23" fillId="0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 shrinkToFit="1"/>
    </xf>
    <xf numFmtId="0" fontId="24" fillId="0" borderId="4" xfId="0" applyFont="1" applyBorder="1" applyAlignment="1">
      <alignment vertical="center" wrapText="1"/>
    </xf>
    <xf numFmtId="0" fontId="25" fillId="0" borderId="4" xfId="0" applyFont="1" applyFill="1" applyBorder="1" applyAlignment="1">
      <alignment vertical="center" wrapText="1"/>
    </xf>
    <xf numFmtId="176" fontId="1" fillId="3" borderId="4" xfId="0" applyNumberFormat="1" applyFont="1" applyFill="1" applyBorder="1" applyAlignment="1">
      <alignment horizontal="left" vertical="center" shrinkToFit="1"/>
    </xf>
    <xf numFmtId="0" fontId="19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vertical="center" wrapText="1"/>
    </xf>
    <xf numFmtId="0" fontId="21" fillId="0" borderId="4" xfId="0" applyNumberFormat="1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vertical="center" wrapText="1"/>
    </xf>
    <xf numFmtId="0" fontId="28" fillId="0" borderId="4" xfId="0" applyNumberFormat="1" applyFont="1" applyFill="1" applyBorder="1" applyAlignment="1">
      <alignment horizontal="left" vertical="center" wrapText="1"/>
    </xf>
    <xf numFmtId="0" fontId="29" fillId="0" borderId="4" xfId="0" applyNumberFormat="1" applyFont="1" applyFill="1" applyBorder="1" applyAlignment="1">
      <alignment horizontal="left" vertical="center" wrapText="1"/>
    </xf>
    <xf numFmtId="0" fontId="30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vertical="center"/>
    </xf>
    <xf numFmtId="176" fontId="1" fillId="0" borderId="4" xfId="0" applyNumberFormat="1" applyFont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21" fillId="0" borderId="4" xfId="0" applyNumberFormat="1" applyFont="1" applyFill="1" applyBorder="1" applyAlignment="1">
      <alignment horizontal="left" vertical="center" wrapText="1"/>
    </xf>
    <xf numFmtId="0" fontId="31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2" fillId="0" borderId="4" xfId="0" applyFont="1" applyBorder="1" applyAlignment="1">
      <alignment vertical="center" wrapText="1"/>
    </xf>
    <xf numFmtId="0" fontId="31" fillId="0" borderId="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177" fontId="32" fillId="0" borderId="4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3" fillId="0" borderId="4" xfId="0" applyFont="1" applyFill="1" applyBorder="1" applyAlignment="1" quotePrefix="1">
      <alignment horizontal="center" vertical="center" wrapText="1"/>
    </xf>
    <xf numFmtId="0" fontId="21" fillId="0" borderId="4" xfId="0" applyFont="1" applyFill="1" applyBorder="1" applyAlignment="1" quotePrefix="1">
      <alignment horizontal="center" vertical="center" wrapText="1"/>
    </xf>
    <xf numFmtId="0" fontId="27" fillId="0" borderId="4" xfId="0" applyFont="1" applyFill="1" applyBorder="1" applyAlignment="1" quotePrefix="1">
      <alignment vertical="center" wrapText="1"/>
    </xf>
    <xf numFmtId="0" fontId="1" fillId="0" borderId="4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85" zoomScaleNormal="85" workbookViewId="0">
      <selection activeCell="L19" sqref="A2:L19"/>
    </sheetView>
  </sheetViews>
  <sheetFormatPr defaultColWidth="9" defaultRowHeight="14.25"/>
  <cols>
    <col min="1" max="1" width="12.875" style="30" customWidth="1"/>
    <col min="2" max="2" width="12.625" style="4" customWidth="1"/>
    <col min="3" max="3" width="16.9" style="4" customWidth="1"/>
    <col min="4" max="4" width="9" style="1"/>
    <col min="5" max="5" width="11.625" style="1" customWidth="1"/>
    <col min="6" max="6" width="26.75" style="1" customWidth="1"/>
    <col min="7" max="7" width="7.625" style="1" customWidth="1"/>
    <col min="8" max="8" width="9.875" style="1"/>
    <col min="9" max="9" width="12.85" style="1" customWidth="1"/>
    <col min="10" max="10" width="13.9166666666667" style="3" customWidth="1"/>
    <col min="11" max="11" width="12.7666666666667" style="4" customWidth="1"/>
    <col min="12" max="12" width="17.2083333333333" style="1" customWidth="1"/>
    <col min="13" max="16384" width="9" style="1"/>
  </cols>
  <sheetData>
    <row r="1" s="1" customFormat="1" ht="21" customHeight="1" spans="1:12">
      <c r="A1" s="31" t="s">
        <v>0</v>
      </c>
      <c r="B1" s="32"/>
      <c r="C1" s="32"/>
      <c r="D1" s="33"/>
      <c r="E1" s="33"/>
      <c r="F1" s="33"/>
      <c r="G1" s="33"/>
      <c r="H1" s="33"/>
      <c r="I1" s="33"/>
      <c r="J1" s="34"/>
      <c r="K1" s="35"/>
      <c r="L1" s="36"/>
    </row>
    <row r="2" s="1" customFormat="1" ht="21" customHeight="1" spans="1:12">
      <c r="A2" s="37" t="s">
        <v>1</v>
      </c>
      <c r="B2" s="12" t="s">
        <v>2</v>
      </c>
      <c r="C2" s="12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2" t="s">
        <v>11</v>
      </c>
      <c r="L2" s="10" t="s">
        <v>12</v>
      </c>
    </row>
    <row r="3" s="1" customFormat="1" ht="30" customHeight="1" spans="1:12">
      <c r="A3" s="38">
        <v>46031</v>
      </c>
      <c r="B3" s="21" t="s">
        <v>13</v>
      </c>
      <c r="C3" s="39" t="s">
        <v>14</v>
      </c>
      <c r="D3" s="40" t="s">
        <v>15</v>
      </c>
      <c r="E3" s="41" t="s">
        <v>16</v>
      </c>
      <c r="F3" s="42" t="s">
        <v>17</v>
      </c>
      <c r="G3" s="43">
        <v>500</v>
      </c>
      <c r="H3" s="20">
        <f>4.35*1.08</f>
        <v>4.698</v>
      </c>
      <c r="I3" s="44">
        <f t="shared" ref="I3:I8" si="0">G3*H3</f>
        <v>2349</v>
      </c>
      <c r="J3" s="45" t="str">
        <f>_xlfn.DISPIMG("ID_643C374A20B24A218513BAFFBB45DD6B",1)</f>
        <v>=DISPIMG("ID_643C374A20B24A218513BAFFBB45DD6B",1)</v>
      </c>
      <c r="K3" s="21" t="s">
        <v>18</v>
      </c>
      <c r="L3" s="46" t="s">
        <v>19</v>
      </c>
    </row>
    <row r="4" s="1" customFormat="1" ht="30" customHeight="1" spans="1:12">
      <c r="A4" s="38"/>
      <c r="B4" s="21"/>
      <c r="C4" s="39"/>
      <c r="D4" s="40" t="s">
        <v>20</v>
      </c>
      <c r="E4" s="41" t="s">
        <v>21</v>
      </c>
      <c r="F4" s="42" t="s">
        <v>17</v>
      </c>
      <c r="G4" s="43">
        <v>500</v>
      </c>
      <c r="H4" s="20">
        <f>3.68*1.08</f>
        <v>3.9744</v>
      </c>
      <c r="I4" s="44">
        <f t="shared" si="0"/>
        <v>1987.2</v>
      </c>
      <c r="J4" s="45"/>
      <c r="K4" s="21"/>
      <c r="L4" s="46"/>
    </row>
    <row r="5" s="1" customFormat="1" ht="30" customHeight="1" spans="1:12">
      <c r="A5" s="38"/>
      <c r="B5" s="21"/>
      <c r="C5" s="39"/>
      <c r="D5" s="40" t="s">
        <v>22</v>
      </c>
      <c r="E5" s="47" t="s">
        <v>23</v>
      </c>
      <c r="F5" s="42" t="s">
        <v>17</v>
      </c>
      <c r="G5" s="43">
        <v>500</v>
      </c>
      <c r="H5" s="20">
        <f>3.63*1.08</f>
        <v>3.9204</v>
      </c>
      <c r="I5" s="44">
        <f t="shared" si="0"/>
        <v>1960.2</v>
      </c>
      <c r="J5" s="45"/>
      <c r="K5" s="21"/>
      <c r="L5" s="46"/>
    </row>
    <row r="6" s="1" customFormat="1" ht="30" customHeight="1" spans="1:12">
      <c r="A6" s="38"/>
      <c r="B6" s="21"/>
      <c r="C6" s="39"/>
      <c r="D6" s="40" t="s">
        <v>24</v>
      </c>
      <c r="E6" s="41" t="s">
        <v>25</v>
      </c>
      <c r="F6" s="42" t="s">
        <v>17</v>
      </c>
      <c r="G6" s="43">
        <v>500</v>
      </c>
      <c r="H6" s="20">
        <f>8.46*1.08</f>
        <v>9.1368</v>
      </c>
      <c r="I6" s="44">
        <f t="shared" si="0"/>
        <v>4568.4</v>
      </c>
      <c r="J6" s="45"/>
      <c r="K6" s="21"/>
      <c r="L6" s="46"/>
    </row>
    <row r="7" s="1" customFormat="1" ht="30" customHeight="1" spans="1:12">
      <c r="A7" s="38">
        <v>45996</v>
      </c>
      <c r="B7" s="16" t="s">
        <v>26</v>
      </c>
      <c r="C7" s="48" t="s">
        <v>27</v>
      </c>
      <c r="D7" s="49" t="s">
        <v>28</v>
      </c>
      <c r="E7" s="50" t="s">
        <v>29</v>
      </c>
      <c r="F7" s="42" t="s">
        <v>30</v>
      </c>
      <c r="G7" s="43">
        <v>300</v>
      </c>
      <c r="H7" s="51">
        <v>9.95</v>
      </c>
      <c r="I7" s="44">
        <f t="shared" si="0"/>
        <v>2985</v>
      </c>
      <c r="J7" s="22" t="s">
        <v>31</v>
      </c>
      <c r="K7" s="22" t="s">
        <v>32</v>
      </c>
      <c r="L7" s="52" t="s">
        <v>33</v>
      </c>
    </row>
    <row r="8" s="1" customFormat="1" ht="30" customHeight="1" spans="1:12">
      <c r="A8" s="38">
        <v>46046</v>
      </c>
      <c r="B8" s="16" t="s">
        <v>26</v>
      </c>
      <c r="C8" s="48" t="s">
        <v>34</v>
      </c>
      <c r="D8" s="53" t="s">
        <v>35</v>
      </c>
      <c r="E8" s="54" t="s">
        <v>36</v>
      </c>
      <c r="F8" s="55" t="s">
        <v>37</v>
      </c>
      <c r="G8" s="43">
        <v>200</v>
      </c>
      <c r="H8" s="20">
        <v>4.74</v>
      </c>
      <c r="I8" s="56">
        <f t="shared" si="0"/>
        <v>948</v>
      </c>
      <c r="J8" s="57"/>
      <c r="K8" s="58" t="s">
        <v>38</v>
      </c>
      <c r="L8" s="52"/>
    </row>
    <row r="9" s="1" customFormat="1" ht="30" customHeight="1" spans="1:12">
      <c r="A9" s="38">
        <v>46050</v>
      </c>
      <c r="B9" s="16" t="s">
        <v>26</v>
      </c>
      <c r="C9" s="48" t="s">
        <v>39</v>
      </c>
      <c r="D9" s="40" t="s">
        <v>40</v>
      </c>
      <c r="E9" s="59" t="s">
        <v>41</v>
      </c>
      <c r="F9" s="42" t="s">
        <v>42</v>
      </c>
      <c r="G9" s="43">
        <v>1000</v>
      </c>
      <c r="H9" s="20">
        <v>1.58</v>
      </c>
      <c r="I9" s="56">
        <f>G9*H9</f>
        <v>1580</v>
      </c>
      <c r="J9" s="22" t="s">
        <v>43</v>
      </c>
      <c r="K9" s="22" t="s">
        <v>44</v>
      </c>
      <c r="L9" s="52" t="s">
        <v>33</v>
      </c>
    </row>
    <row r="10" s="1" customFormat="1" ht="30" customHeight="1" spans="1:12">
      <c r="A10" s="38">
        <v>46055</v>
      </c>
      <c r="B10" s="16" t="s">
        <v>26</v>
      </c>
      <c r="C10" s="48" t="s">
        <v>45</v>
      </c>
      <c r="D10" s="40" t="s">
        <v>46</v>
      </c>
      <c r="E10" s="59" t="s">
        <v>47</v>
      </c>
      <c r="F10" s="42" t="s">
        <v>48</v>
      </c>
      <c r="G10" s="43">
        <v>100</v>
      </c>
      <c r="H10" s="20">
        <v>4.6</v>
      </c>
      <c r="I10" s="56">
        <f>G10*H10</f>
        <v>460</v>
      </c>
      <c r="J10" s="60" t="s">
        <v>49</v>
      </c>
      <c r="K10" s="61" t="str">
        <f>_xlfn.DISPIMG("ID_EF17BBEACCD64AA5A155A2AF67FD6DFE",1)</f>
        <v>=DISPIMG("ID_EF17BBEACCD64AA5A155A2AF67FD6DFE",1)</v>
      </c>
      <c r="L10" s="52" t="s">
        <v>33</v>
      </c>
    </row>
    <row r="11" s="1" customFormat="1" ht="30" customHeight="1" spans="1:12">
      <c r="A11" s="62">
        <v>46085</v>
      </c>
      <c r="B11" s="22" t="s">
        <v>50</v>
      </c>
      <c r="C11" s="39" t="s">
        <v>51</v>
      </c>
      <c r="D11" s="22" t="s">
        <v>52</v>
      </c>
      <c r="E11" s="63" t="s">
        <v>53</v>
      </c>
      <c r="F11" s="64" t="s">
        <v>54</v>
      </c>
      <c r="G11" s="43">
        <v>2000</v>
      </c>
      <c r="H11" s="51">
        <v>0.61</v>
      </c>
      <c r="I11" s="56">
        <f>H11*G11</f>
        <v>1220</v>
      </c>
      <c r="J11" s="86" t="s">
        <v>55</v>
      </c>
      <c r="K11" s="66"/>
      <c r="L11" s="66" t="s">
        <v>56</v>
      </c>
    </row>
    <row r="12" s="1" customFormat="1" ht="30" customHeight="1" spans="1:12">
      <c r="A12" s="62">
        <v>46087</v>
      </c>
      <c r="B12" s="22" t="s">
        <v>50</v>
      </c>
      <c r="C12" s="39" t="s">
        <v>57</v>
      </c>
      <c r="D12" s="16" t="s">
        <v>58</v>
      </c>
      <c r="E12" s="24" t="s">
        <v>59</v>
      </c>
      <c r="F12" s="64" t="s">
        <v>60</v>
      </c>
      <c r="G12" s="43">
        <v>2000</v>
      </c>
      <c r="H12" s="20">
        <v>0.7</v>
      </c>
      <c r="I12" s="56">
        <f t="shared" ref="I12:I17" si="1">G12*H12</f>
        <v>1400</v>
      </c>
      <c r="J12" s="86" t="s">
        <v>61</v>
      </c>
      <c r="K12" s="66"/>
      <c r="L12" s="66" t="s">
        <v>62</v>
      </c>
    </row>
    <row r="13" s="1" customFormat="1" ht="30" customHeight="1" spans="1:12">
      <c r="A13" s="62">
        <v>46090</v>
      </c>
      <c r="B13" s="22" t="s">
        <v>63</v>
      </c>
      <c r="C13" s="39" t="s">
        <v>64</v>
      </c>
      <c r="D13" s="67" t="s">
        <v>65</v>
      </c>
      <c r="E13" s="54" t="s">
        <v>66</v>
      </c>
      <c r="F13" s="64" t="s">
        <v>67</v>
      </c>
      <c r="G13" s="43">
        <v>2000</v>
      </c>
      <c r="H13" s="20">
        <v>0.805</v>
      </c>
      <c r="I13" s="56">
        <f t="shared" si="1"/>
        <v>1610</v>
      </c>
      <c r="J13" s="87" t="s">
        <v>68</v>
      </c>
      <c r="K13" s="88" t="s">
        <v>69</v>
      </c>
      <c r="L13" s="69" t="s">
        <v>70</v>
      </c>
    </row>
    <row r="14" s="1" customFormat="1" ht="30" customHeight="1" spans="1:12">
      <c r="A14" s="62">
        <v>46084</v>
      </c>
      <c r="B14" s="22" t="s">
        <v>71</v>
      </c>
      <c r="C14" s="39" t="s">
        <v>72</v>
      </c>
      <c r="D14" s="70" t="s">
        <v>73</v>
      </c>
      <c r="E14" s="54" t="s">
        <v>74</v>
      </c>
      <c r="F14" s="42" t="s">
        <v>75</v>
      </c>
      <c r="G14" s="43">
        <v>10000</v>
      </c>
      <c r="H14" s="20">
        <v>0.65</v>
      </c>
      <c r="I14" s="56">
        <f t="shared" si="1"/>
        <v>6500</v>
      </c>
      <c r="J14" s="89" t="s">
        <v>76</v>
      </c>
      <c r="K14" s="26"/>
      <c r="L14" s="26" t="s">
        <v>77</v>
      </c>
    </row>
    <row r="15" s="1" customFormat="1" ht="30" customHeight="1" spans="1:12">
      <c r="A15" s="62">
        <v>46097</v>
      </c>
      <c r="B15" s="22" t="s">
        <v>71</v>
      </c>
      <c r="C15" s="39" t="s">
        <v>78</v>
      </c>
      <c r="D15" s="71" t="s">
        <v>79</v>
      </c>
      <c r="E15" s="54" t="s">
        <v>80</v>
      </c>
      <c r="F15" s="42" t="s">
        <v>81</v>
      </c>
      <c r="G15" s="43">
        <v>2500</v>
      </c>
      <c r="H15" s="20">
        <v>2.13</v>
      </c>
      <c r="I15" s="56">
        <f t="shared" si="1"/>
        <v>5325</v>
      </c>
      <c r="J15" s="89" t="s">
        <v>82</v>
      </c>
      <c r="K15" s="26"/>
      <c r="L15" s="26" t="s">
        <v>83</v>
      </c>
    </row>
    <row r="16" s="1" customFormat="1" ht="30" customHeight="1" spans="1:12">
      <c r="A16" s="62">
        <v>46097</v>
      </c>
      <c r="B16" s="22" t="s">
        <v>71</v>
      </c>
      <c r="C16" s="39"/>
      <c r="D16" s="72" t="s">
        <v>84</v>
      </c>
      <c r="E16" s="73" t="s">
        <v>80</v>
      </c>
      <c r="F16" s="42" t="s">
        <v>81</v>
      </c>
      <c r="G16" s="43">
        <v>2500</v>
      </c>
      <c r="H16" s="20">
        <v>2.13</v>
      </c>
      <c r="I16" s="56">
        <f t="shared" si="1"/>
        <v>5325</v>
      </c>
      <c r="J16" s="22"/>
      <c r="K16" s="22"/>
      <c r="L16" s="52"/>
    </row>
    <row r="17" s="1" customFormat="1" ht="29" customHeight="1" spans="1:12">
      <c r="A17" s="74">
        <v>46098</v>
      </c>
      <c r="B17" s="75" t="s">
        <v>85</v>
      </c>
      <c r="C17" s="48" t="s">
        <v>86</v>
      </c>
      <c r="D17" s="76" t="s">
        <v>87</v>
      </c>
      <c r="E17" s="77" t="s">
        <v>88</v>
      </c>
      <c r="F17" s="42" t="s">
        <v>89</v>
      </c>
      <c r="G17" s="43">
        <v>1000</v>
      </c>
      <c r="H17" s="20">
        <v>3.6</v>
      </c>
      <c r="I17" s="56">
        <f t="shared" si="1"/>
        <v>3600</v>
      </c>
      <c r="J17" s="87" t="s">
        <v>90</v>
      </c>
      <c r="K17" s="78"/>
      <c r="L17" s="69" t="s">
        <v>91</v>
      </c>
    </row>
    <row r="18" s="1" customFormat="1" ht="29" customHeight="1" spans="1:12">
      <c r="A18" s="74">
        <v>46101</v>
      </c>
      <c r="B18" s="79" t="s">
        <v>92</v>
      </c>
      <c r="C18" s="39" t="s">
        <v>93</v>
      </c>
      <c r="D18" s="40" t="s">
        <v>94</v>
      </c>
      <c r="E18" s="54" t="s">
        <v>95</v>
      </c>
      <c r="F18" s="42" t="s">
        <v>96</v>
      </c>
      <c r="G18" s="43">
        <v>600</v>
      </c>
      <c r="H18" s="20">
        <f>I18/G18</f>
        <v>2.66666666666667</v>
      </c>
      <c r="I18" s="56">
        <v>1600</v>
      </c>
      <c r="J18" s="87" t="s">
        <v>97</v>
      </c>
      <c r="K18" s="78"/>
      <c r="L18" s="69" t="s">
        <v>98</v>
      </c>
    </row>
    <row r="19" s="1" customFormat="1" ht="29" customHeight="1" spans="1:12">
      <c r="A19" s="74">
        <v>46097</v>
      </c>
      <c r="B19" s="22" t="s">
        <v>99</v>
      </c>
      <c r="C19" s="39" t="s">
        <v>100</v>
      </c>
      <c r="D19" s="80" t="s">
        <v>101</v>
      </c>
      <c r="E19" s="81" t="s">
        <v>102</v>
      </c>
      <c r="F19" s="16" t="s">
        <v>103</v>
      </c>
      <c r="G19" s="82">
        <v>1000</v>
      </c>
      <c r="H19" s="83">
        <v>2.2</v>
      </c>
      <c r="I19" s="56">
        <v>1601</v>
      </c>
      <c r="J19" s="84" t="s">
        <v>104</v>
      </c>
      <c r="K19" s="22"/>
      <c r="L19" s="85" t="s">
        <v>105</v>
      </c>
    </row>
    <row r="20" s="1" customFormat="1" ht="15" spans="1:12">
      <c r="A20" s="30"/>
      <c r="B20" s="4"/>
      <c r="C20" s="4"/>
      <c r="H20" s="1" t="s">
        <v>106</v>
      </c>
      <c r="I20" s="28">
        <f>SUM(I3:I19)</f>
        <v>45018.8</v>
      </c>
      <c r="J20" s="3" t="s">
        <v>107</v>
      </c>
      <c r="K20" s="4"/>
    </row>
  </sheetData>
  <mergeCells count="7">
    <mergeCell ref="A3:A6"/>
    <mergeCell ref="B3:B6"/>
    <mergeCell ref="C3:C6"/>
    <mergeCell ref="C15:C16"/>
    <mergeCell ref="J3:J6"/>
    <mergeCell ref="K3:K6"/>
    <mergeCell ref="L3:L6"/>
  </mergeCells>
  <pageMargins left="0.393055555555556" right="0.393055555555556" top="0.432638888888889" bottom="0.432638888888889" header="0.3" footer="0.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L3" sqref="A3:L6"/>
    </sheetView>
  </sheetViews>
  <sheetFormatPr defaultColWidth="9" defaultRowHeight="14.25"/>
  <cols>
    <col min="1" max="1" width="12.875" style="2" customWidth="1"/>
    <col min="2" max="3" width="12.625" style="1" customWidth="1"/>
    <col min="4" max="4" width="9" style="1"/>
    <col min="5" max="5" width="11.625" style="1" customWidth="1"/>
    <col min="6" max="6" width="26.75" style="1" customWidth="1"/>
    <col min="7" max="7" width="7.625" style="1" customWidth="1"/>
    <col min="8" max="8" width="9.875" style="1"/>
    <col min="9" max="9" width="12.85" style="1" customWidth="1"/>
    <col min="10" max="10" width="13.9166666666667" style="3" customWidth="1"/>
    <col min="11" max="11" width="12.7666666666667" style="4" customWidth="1"/>
    <col min="12" max="12" width="17.2083333333333" style="5" customWidth="1"/>
    <col min="13" max="16384" width="9" style="1"/>
  </cols>
  <sheetData>
    <row r="1" s="1" customFormat="1" ht="21" customHeight="1" spans="1:1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="1" customFormat="1" ht="21" customHeight="1" spans="1:12">
      <c r="A2" s="9" t="s">
        <v>1</v>
      </c>
      <c r="B2" s="10" t="s">
        <v>2</v>
      </c>
      <c r="C2" s="11" t="s">
        <v>108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2" t="s">
        <v>11</v>
      </c>
      <c r="L2" s="13" t="s">
        <v>12</v>
      </c>
    </row>
    <row r="3" customFormat="1" ht="30" customHeight="1" spans="1:12">
      <c r="A3" s="14">
        <v>46084</v>
      </c>
      <c r="B3" s="15" t="s">
        <v>109</v>
      </c>
      <c r="C3" s="16" t="s">
        <v>110</v>
      </c>
      <c r="D3" s="17" t="s">
        <v>111</v>
      </c>
      <c r="E3" s="17" t="s">
        <v>112</v>
      </c>
      <c r="F3" s="18" t="s">
        <v>113</v>
      </c>
      <c r="G3" s="19" t="s">
        <v>114</v>
      </c>
      <c r="H3" s="20">
        <f>I3/G3</f>
        <v>1.695</v>
      </c>
      <c r="I3" s="19" t="s">
        <v>115</v>
      </c>
      <c r="J3" s="21" t="s">
        <v>116</v>
      </c>
      <c r="K3" s="22"/>
      <c r="L3" s="23" t="s">
        <v>117</v>
      </c>
    </row>
    <row r="4" customFormat="1" ht="30" customHeight="1" spans="1:12">
      <c r="A4" s="14"/>
      <c r="B4" s="15"/>
      <c r="C4" s="24" t="s">
        <v>118</v>
      </c>
      <c r="D4" s="17"/>
      <c r="E4" s="17"/>
      <c r="F4" s="18"/>
      <c r="G4" s="19" t="s">
        <v>119</v>
      </c>
      <c r="H4" s="20">
        <f>I4/G4</f>
        <v>1.695</v>
      </c>
      <c r="I4" s="19" t="s">
        <v>120</v>
      </c>
      <c r="J4" s="21"/>
      <c r="K4" s="22"/>
      <c r="L4" s="23"/>
    </row>
    <row r="5" customFormat="1" ht="30" customHeight="1" spans="1:12">
      <c r="A5" s="14"/>
      <c r="B5" s="15"/>
      <c r="C5" s="24"/>
      <c r="D5" s="17"/>
      <c r="E5" s="17"/>
      <c r="F5" s="18"/>
      <c r="G5" s="19" t="s">
        <v>114</v>
      </c>
      <c r="H5" s="20">
        <f>I5/G5</f>
        <v>1.695</v>
      </c>
      <c r="I5" s="19" t="s">
        <v>115</v>
      </c>
      <c r="J5" s="21"/>
      <c r="K5" s="22"/>
      <c r="L5" s="23"/>
    </row>
    <row r="6" s="1" customFormat="1" ht="30" customHeight="1" spans="1:12">
      <c r="A6" s="14">
        <v>46093</v>
      </c>
      <c r="B6" s="15"/>
      <c r="C6" s="25" t="s">
        <v>121</v>
      </c>
      <c r="D6" s="17"/>
      <c r="E6" s="17"/>
      <c r="F6" s="18"/>
      <c r="G6" s="19" t="s">
        <v>119</v>
      </c>
      <c r="H6" s="20">
        <f>I6/G6</f>
        <v>1.695</v>
      </c>
      <c r="I6" s="19" t="s">
        <v>120</v>
      </c>
      <c r="J6" s="21"/>
      <c r="K6" s="26"/>
      <c r="L6" s="23"/>
    </row>
    <row r="7" s="1" customFormat="1" ht="15" spans="1:12">
      <c r="A7" s="2"/>
      <c r="H7" s="27" t="s">
        <v>122</v>
      </c>
      <c r="I7" s="28">
        <f>SUM(I3+I4+I5+I6)</f>
        <v>5085</v>
      </c>
      <c r="J7" s="29" t="s">
        <v>123</v>
      </c>
      <c r="K7" s="4"/>
      <c r="L7" s="5"/>
    </row>
    <row r="8" s="1" customFormat="1" spans="1:12">
      <c r="A8" s="2"/>
      <c r="J8" s="3"/>
      <c r="K8" s="4"/>
      <c r="L8" s="5"/>
    </row>
    <row r="9" s="1" customFormat="1" spans="1:12">
      <c r="A9" s="2"/>
      <c r="J9" s="3"/>
      <c r="K9" s="4"/>
      <c r="L9" s="5"/>
    </row>
    <row r="10" s="1" customFormat="1" spans="1:12">
      <c r="A10" s="2"/>
      <c r="J10" s="3"/>
      <c r="K10" s="4"/>
      <c r="L10" s="5"/>
    </row>
    <row r="11" s="1" customFormat="1" spans="1:12">
      <c r="A11" s="2"/>
      <c r="J11" s="3"/>
      <c r="K11" s="4"/>
      <c r="L11" s="5"/>
    </row>
  </sheetData>
  <mergeCells count="9">
    <mergeCell ref="A1:L1"/>
    <mergeCell ref="A3:A5"/>
    <mergeCell ref="B3:B6"/>
    <mergeCell ref="C4:C5"/>
    <mergeCell ref="D3:D6"/>
    <mergeCell ref="E3:E6"/>
    <mergeCell ref="F3:F6"/>
    <mergeCell ref="J3:J6"/>
    <mergeCell ref="L3:L6"/>
  </mergeCells>
  <pageMargins left="0.511805555555556" right="0.196527777777778" top="0.75" bottom="0.75" header="0.3" footer="0.3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3月已交货</vt:lpstr>
      <vt:lpstr>3月 月结客人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黄娟</cp:lastModifiedBy>
  <dcterms:created xsi:type="dcterms:W3CDTF">2023-05-12T11:15:00Z</dcterms:created>
  <dcterms:modified xsi:type="dcterms:W3CDTF">2026-04-03T08:01:49Z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8453A312C7014DAC81322CFA3B07E5BA_13</vt:lpwstr>
  </property>
  <property fmtid="{D5CDD505-2E9C-101B-9397-08002B2CF9AE}" pid="4" name="CalculationRule">
    <vt:i4>0</vt:i4>
  </property>
</Properties>
</file>